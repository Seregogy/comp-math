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ita\Desktop\CS292\"/>
    </mc:Choice>
  </mc:AlternateContent>
  <xr:revisionPtr revIDLastSave="0" documentId="13_ncr:1_{7F95F561-58D0-4755-9A98-6A93DB332CF9}" xr6:coauthVersionLast="47" xr6:coauthVersionMax="47" xr10:uidLastSave="{00000000-0000-0000-0000-000000000000}"/>
  <bookViews>
    <workbookView xWindow="11424" yWindow="0" windowWidth="11712" windowHeight="12336" xr2:uid="{10D617EB-747E-462F-A322-E5408145994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C3" i="1"/>
  <c r="D3" i="1"/>
  <c r="C4" i="1" s="1"/>
  <c r="E2" i="1"/>
  <c r="E3" i="1"/>
  <c r="E4" i="1"/>
  <c r="E5" i="1"/>
  <c r="E6" i="1"/>
  <c r="E7" i="1"/>
  <c r="E8" i="1"/>
  <c r="E9" i="1"/>
  <c r="E10" i="1"/>
  <c r="E11" i="1"/>
  <c r="E12" i="1"/>
  <c r="D2" i="1"/>
  <c r="B3" i="1"/>
  <c r="B4" i="1"/>
  <c r="B5" i="1"/>
  <c r="B6" i="1"/>
  <c r="B7" i="1"/>
  <c r="B8" i="1"/>
  <c r="B9" i="1"/>
  <c r="B10" i="1"/>
  <c r="B11" i="1"/>
  <c r="B12" i="1"/>
  <c r="B2" i="1"/>
  <c r="I2" i="1"/>
  <c r="C5" i="1" l="1"/>
  <c r="D5" i="1" s="1"/>
  <c r="C6" i="1" l="1"/>
  <c r="D6" i="1" s="1"/>
  <c r="C7" i="1" l="1"/>
  <c r="D7" i="1" s="1"/>
  <c r="C8" i="1" l="1"/>
  <c r="D8" i="1" s="1"/>
  <c r="C9" i="1" l="1"/>
  <c r="D9" i="1" s="1"/>
  <c r="C10" i="1" l="1"/>
  <c r="D10" i="1" s="1"/>
  <c r="C11" i="1" l="1"/>
  <c r="D11" i="1" s="1"/>
  <c r="C12" i="1" l="1"/>
  <c r="D12" i="1" s="1"/>
</calcChain>
</file>

<file path=xl/sharedStrings.xml><?xml version="1.0" encoding="utf-8"?>
<sst xmlns="http://schemas.openxmlformats.org/spreadsheetml/2006/main" count="8" uniqueCount="8">
  <si>
    <t>k</t>
  </si>
  <si>
    <t>y(xk)</t>
  </si>
  <si>
    <t>xk</t>
  </si>
  <si>
    <t>a</t>
  </si>
  <si>
    <t>b</t>
  </si>
  <si>
    <t>h</t>
  </si>
  <si>
    <t>ypk</t>
  </si>
  <si>
    <t>yck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</si>
</sst>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6F29A-C253-4A50-82B4-A7352B396DA6}">
  <dimension ref="A1:I12"/>
  <sheetViews>
    <sheetView tabSelected="1" workbookViewId="0">
      <selection activeCell="F5" sqref="F5"/>
    </sheetView>
  </sheetViews>
  <sheetFormatPr defaultRowHeight="14.4" x14ac:dyDescent="0.3"/>
  <sheetData>
    <row r="1" spans="1:9" x14ac:dyDescent="0.3">
      <c r="A1" t="s">
        <v>0</v>
      </c>
      <c r="B1" t="s">
        <v>2</v>
      </c>
      <c r="C1" t="s">
        <v>6</v>
      </c>
      <c r="D1" t="s">
        <v>7</v>
      </c>
      <c r="E1" t="s">
        <v>1</v>
      </c>
      <c r="G1" t="s">
        <v>3</v>
      </c>
      <c r="H1" t="s">
        <v>4</v>
      </c>
      <c r="I1" t="s">
        <v>5</v>
      </c>
    </row>
    <row r="2" spans="1:9" x14ac:dyDescent="0.3">
      <c r="A2">
        <v>0</v>
      </c>
      <c r="B2">
        <f>$G$2 + A2*$I$2</f>
        <v>0</v>
      </c>
      <c r="D2">
        <f>E2</f>
        <v>0.54030230586813977</v>
      </c>
      <c r="E2">
        <f>COS(EXP(B2))</f>
        <v>0.54030230586813977</v>
      </c>
      <c r="G2">
        <v>0</v>
      </c>
      <c r="H2">
        <v>1</v>
      </c>
      <c r="I2">
        <f>(H2-G2)/A12</f>
        <v>0.1</v>
      </c>
    </row>
    <row r="3" spans="1:9" x14ac:dyDescent="0.3">
      <c r="A3">
        <v>1</v>
      </c>
      <c r="B3">
        <f t="shared" ref="B3:B12" si="0">$G$2 + A3*$I$2</f>
        <v>0.1</v>
      </c>
      <c r="C3">
        <f>D2+$I$2*(COS(EXP(B2))-SIN(EXP(B2))*EXP(B2) - D2)</f>
        <v>0.4561552073873501</v>
      </c>
      <c r="D3">
        <f>D2+$I$2/2*(COS(EXP(B2))-SIN(EXP(B2))*EXP(B2)-D2+COS(EXP(B3))-SIN(EXP(B3))*EXP(B3)-C3 )</f>
        <v>0.44849430890218989</v>
      </c>
      <c r="E3">
        <f t="shared" ref="E3:E12" si="1">COS(EXP(B3))</f>
        <v>0.44898171751261412</v>
      </c>
    </row>
    <row r="4" spans="1:9" x14ac:dyDescent="0.3">
      <c r="A4">
        <v>2</v>
      </c>
      <c r="B4">
        <f t="shared" si="0"/>
        <v>0.2</v>
      </c>
      <c r="C4">
        <f t="shared" ref="C4:C12" si="2">D3+$I$2*(COS(EXP(B3))-SIN(EXP(B3))*EXP(B3) - D3)</f>
        <v>0.34979150329959585</v>
      </c>
      <c r="D4">
        <f t="shared" ref="D4:D12" si="3">D3+$I$2/2*(COS(EXP(B3))-SIN(EXP(B3))*EXP(B3)-D3+COS(EXP(B4))-SIN(EXP(B4))*EXP(B4)-C4 )</f>
        <v>0.34138942516502502</v>
      </c>
      <c r="E4">
        <f t="shared" si="1"/>
        <v>0.34232807936173987</v>
      </c>
    </row>
    <row r="5" spans="1:9" x14ac:dyDescent="0.3">
      <c r="A5">
        <v>3</v>
      </c>
      <c r="B5">
        <f t="shared" si="0"/>
        <v>0.30000000000000004</v>
      </c>
      <c r="C5">
        <f t="shared" si="2"/>
        <v>0.22672267110674643</v>
      </c>
      <c r="D5">
        <f t="shared" si="3"/>
        <v>0.21782478632618107</v>
      </c>
      <c r="E5">
        <f t="shared" si="1"/>
        <v>0.21914444965564364</v>
      </c>
    </row>
    <row r="6" spans="1:9" x14ac:dyDescent="0.3">
      <c r="A6">
        <v>4</v>
      </c>
      <c r="B6">
        <f t="shared" si="0"/>
        <v>0.4</v>
      </c>
      <c r="C6">
        <f t="shared" si="2"/>
        <v>8.6252051184828288E-2</v>
      </c>
      <c r="D6">
        <f t="shared" si="3"/>
        <v>7.7311533758823076E-2</v>
      </c>
      <c r="E6">
        <f t="shared" si="1"/>
        <v>7.888957007872148E-2</v>
      </c>
    </row>
    <row r="7" spans="1:9" x14ac:dyDescent="0.3">
      <c r="A7">
        <v>5</v>
      </c>
      <c r="B7">
        <f t="shared" si="0"/>
        <v>0.5</v>
      </c>
      <c r="C7">
        <f t="shared" si="2"/>
        <v>-7.1248184491939648E-2</v>
      </c>
      <c r="D7">
        <f t="shared" si="3"/>
        <v>-7.9484123374860022E-2</v>
      </c>
      <c r="E7">
        <f t="shared" si="1"/>
        <v>-7.7846103947027928E-2</v>
      </c>
    </row>
    <row r="8" spans="1:9" x14ac:dyDescent="0.3">
      <c r="A8">
        <v>6</v>
      </c>
      <c r="B8">
        <f t="shared" si="0"/>
        <v>0.60000000000000009</v>
      </c>
      <c r="C8">
        <f t="shared" si="2"/>
        <v>-0.24369212550317146</v>
      </c>
      <c r="D8">
        <f t="shared" si="3"/>
        <v>-0.25008156462246178</v>
      </c>
      <c r="E8">
        <f t="shared" si="1"/>
        <v>-0.2486851036283283</v>
      </c>
    </row>
    <row r="9" spans="1:9" x14ac:dyDescent="0.3">
      <c r="A9">
        <v>7</v>
      </c>
      <c r="B9">
        <f t="shared" si="0"/>
        <v>0.70000000000000007</v>
      </c>
      <c r="C9">
        <f t="shared" si="2"/>
        <v>-0.42642950107742483</v>
      </c>
      <c r="D9">
        <f t="shared" si="3"/>
        <v>-0.42933479513489503</v>
      </c>
      <c r="E9">
        <f t="shared" si="1"/>
        <v>-0.42861239010911473</v>
      </c>
    </row>
    <row r="10" spans="1:9" x14ac:dyDescent="0.3">
      <c r="A10">
        <v>8</v>
      </c>
      <c r="B10">
        <f t="shared" si="0"/>
        <v>0.8</v>
      </c>
      <c r="C10">
        <f t="shared" si="2"/>
        <v>-0.61120279029905134</v>
      </c>
      <c r="D10">
        <f t="shared" si="3"/>
        <v>-0.60842182774117215</v>
      </c>
      <c r="E10">
        <f t="shared" si="1"/>
        <v>-0.6089566803698262</v>
      </c>
    </row>
    <row r="11" spans="1:9" x14ac:dyDescent="0.3">
      <c r="A11">
        <v>9</v>
      </c>
      <c r="B11">
        <f t="shared" si="0"/>
        <v>0.9</v>
      </c>
      <c r="C11">
        <f t="shared" si="2"/>
        <v>-0.7850059940453582</v>
      </c>
      <c r="D11">
        <f t="shared" si="3"/>
        <v>-0.77379878245281808</v>
      </c>
      <c r="E11">
        <f t="shared" si="1"/>
        <v>-0.77632017024906519</v>
      </c>
    </row>
    <row r="12" spans="1:9" x14ac:dyDescent="0.3">
      <c r="A12">
        <v>10</v>
      </c>
      <c r="B12">
        <f t="shared" si="0"/>
        <v>1</v>
      </c>
      <c r="C12">
        <f t="shared" si="2"/>
        <v>-0.92908924673117799</v>
      </c>
      <c r="D12">
        <f t="shared" si="3"/>
        <v>-0.90640721386703804</v>
      </c>
      <c r="E12">
        <f t="shared" si="1"/>
        <v>-0.91173391478696508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Михайличенко Никита Иосифович</dc:creator>
  <cp:lastModifiedBy>Михайличенко Никита Иосифович</cp:lastModifiedBy>
  <dcterms:created xsi:type="dcterms:W3CDTF">2024-05-27T16:06:05Z</dcterms:created>
  <dcterms:modified xsi:type="dcterms:W3CDTF">2024-05-29T10:59:41Z</dcterms:modified>
</cp:coreProperties>
</file>