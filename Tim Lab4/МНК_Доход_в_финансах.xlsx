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im\study\cm\comp-math\Tim Lab4\"/>
    </mc:Choice>
  </mc:AlternateContent>
  <xr:revisionPtr revIDLastSave="0" documentId="8_{DA9E8095-9958-4B5D-A601-94A2E6F04C9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МН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4" i="1"/>
  <c r="G16" i="1"/>
  <c r="E16" i="1"/>
  <c r="C16" i="1"/>
  <c r="B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D16" i="1" s="1"/>
  <c r="B18" i="1" l="1"/>
  <c r="B19" i="1" l="1"/>
  <c r="F13" i="1" s="1"/>
  <c r="F4" i="1" l="1"/>
  <c r="F11" i="1"/>
  <c r="F10" i="1"/>
  <c r="F7" i="1"/>
  <c r="F12" i="1"/>
  <c r="F14" i="1"/>
  <c r="F15" i="1"/>
  <c r="F8" i="1"/>
  <c r="F6" i="1"/>
  <c r="F5" i="1"/>
  <c r="F9" i="1"/>
</calcChain>
</file>

<file path=xl/sharedStrings.xml><?xml version="1.0" encoding="utf-8"?>
<sst xmlns="http://schemas.openxmlformats.org/spreadsheetml/2006/main" count="12" uniqueCount="12">
  <si>
    <t>Метод наименьших квадратов</t>
  </si>
  <si>
    <t>Год</t>
  </si>
  <si>
    <t>X</t>
  </si>
  <si>
    <t>X^2</t>
  </si>
  <si>
    <t>X*Y</t>
  </si>
  <si>
    <t>a*x+b</t>
  </si>
  <si>
    <t>D</t>
  </si>
  <si>
    <t>Сумма</t>
  </si>
  <si>
    <t>a</t>
  </si>
  <si>
    <t>b</t>
  </si>
  <si>
    <t>Деятельность финансовая и страховая</t>
  </si>
  <si>
    <t>Средняя зарплата,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</si>
</sst>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theme="3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4" fillId="0" borderId="3" applyNumberFormat="0" applyFill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1" xfId="1"/>
    <xf numFmtId="0" fontId="3" fillId="2" borderId="2" xfId="2"/>
    <xf numFmtId="0" fontId="4" fillId="0" borderId="3" xfId="3"/>
  </cellXfs>
  <cellStyles count="4">
    <cellStyle name="Вывод" xfId="2" builtinId="21"/>
    <cellStyle name="Заголовок 3" xfId="1" builtinId="18"/>
    <cellStyle name="Итог" xfId="3" builtinId="25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Линейная регрессия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МНК!$C$3</c:f>
              <c:strCache>
                <c:ptCount val="1"/>
                <c:pt idx="0">
                  <c:v>Средняя зарплата, 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МНК!$B$4:$B$15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МНК!$C$4:$C$15</c:f>
              <c:numCache>
                <c:formatCode>General</c:formatCode>
                <c:ptCount val="12"/>
                <c:pt idx="0">
                  <c:v>22460.400000000001</c:v>
                </c:pt>
                <c:pt idx="1">
                  <c:v>27887.3</c:v>
                </c:pt>
                <c:pt idx="2">
                  <c:v>34819.9</c:v>
                </c:pt>
                <c:pt idx="3">
                  <c:v>41855.9</c:v>
                </c:pt>
                <c:pt idx="4">
                  <c:v>42372.9</c:v>
                </c:pt>
                <c:pt idx="5">
                  <c:v>50120.800000000003</c:v>
                </c:pt>
                <c:pt idx="6">
                  <c:v>55769.1</c:v>
                </c:pt>
                <c:pt idx="7">
                  <c:v>58925.3</c:v>
                </c:pt>
                <c:pt idx="8">
                  <c:v>63326.5</c:v>
                </c:pt>
                <c:pt idx="9">
                  <c:v>68482.7</c:v>
                </c:pt>
                <c:pt idx="10">
                  <c:v>70091.399999999994</c:v>
                </c:pt>
                <c:pt idx="11">
                  <c:v>80297.100000000006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069-4C99-994D-8A46C7105137}"/>
            </c:ext>
          </c:extLst>
        </c:ser>
        <c:ser>
          <c:idx val="1"/>
          <c:order val="1"/>
          <c:tx>
            <c:strRef>
              <c:f>МНК!$F$3</c:f>
              <c:strCache>
                <c:ptCount val="1"/>
                <c:pt idx="0">
                  <c:v>a*x+b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МНК!$B$4:$B$15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МНК!$F$4:$F$15</c:f>
              <c:numCache>
                <c:formatCode>General</c:formatCode>
                <c:ptCount val="12"/>
                <c:pt idx="0">
                  <c:v>24168.620512820497</c:v>
                </c:pt>
                <c:pt idx="1">
                  <c:v>29113.860722610705</c:v>
                </c:pt>
                <c:pt idx="2">
                  <c:v>34059.100932400921</c:v>
                </c:pt>
                <c:pt idx="3">
                  <c:v>39004.34114219113</c:v>
                </c:pt>
                <c:pt idx="4">
                  <c:v>43949.581351981338</c:v>
                </c:pt>
                <c:pt idx="5">
                  <c:v>48894.821561771547</c:v>
                </c:pt>
                <c:pt idx="6">
                  <c:v>53840.06177156177</c:v>
                </c:pt>
                <c:pt idx="7">
                  <c:v>58785.301981351979</c:v>
                </c:pt>
                <c:pt idx="8">
                  <c:v>63730.542191142187</c:v>
                </c:pt>
                <c:pt idx="9">
                  <c:v>68675.782400932396</c:v>
                </c:pt>
                <c:pt idx="10">
                  <c:v>73621.022610722604</c:v>
                </c:pt>
                <c:pt idx="11">
                  <c:v>78566.262820512813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069-4C99-994D-8A46C7105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797719</xdr:colOff>
      <xdr:row>16</xdr:row>
      <xdr:rowOff>202405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="160" zoomScaleNormal="160" workbookViewId="0">
      <selection activeCell="C20" sqref="C20"/>
    </sheetView>
  </sheetViews>
  <sheetFormatPr defaultRowHeight="15" x14ac:dyDescent="0.25"/>
  <cols>
    <col min="1" max="1" width="12" customWidth="1"/>
    <col min="2" max="2" width="8" customWidth="1"/>
    <col min="3" max="3" width="22.42578125" customWidth="1"/>
    <col min="4" max="4" width="12" customWidth="1"/>
    <col min="5" max="5" width="14" customWidth="1"/>
    <col min="6" max="6" width="18" customWidth="1"/>
    <col min="7" max="7" width="14" customWidth="1"/>
  </cols>
  <sheetData>
    <row r="1" spans="1:7" ht="18.75" x14ac:dyDescent="0.3">
      <c r="A1" s="1" t="s">
        <v>0</v>
      </c>
    </row>
    <row r="2" spans="1:7" ht="18.75" x14ac:dyDescent="0.3">
      <c r="A2" s="1" t="s">
        <v>10</v>
      </c>
    </row>
    <row r="3" spans="1:7" ht="15.75" thickBot="1" x14ac:dyDescent="0.3">
      <c r="A3" s="2" t="s">
        <v>1</v>
      </c>
      <c r="B3" s="2" t="s">
        <v>2</v>
      </c>
      <c r="C3" s="2" t="s">
        <v>11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x14ac:dyDescent="0.25">
      <c r="A4">
        <v>2005</v>
      </c>
      <c r="B4">
        <v>1</v>
      </c>
      <c r="C4">
        <v>22460.400000000001</v>
      </c>
      <c r="D4">
        <f t="shared" ref="D4:D15" si="0">B4^2</f>
        <v>1</v>
      </c>
      <c r="E4">
        <f t="shared" ref="E4:E15" si="1">B4*C4</f>
        <v>22460.400000000001</v>
      </c>
      <c r="F4">
        <f t="shared" ref="F4:F15" si="2">$B$18*B4+$B$19</f>
        <v>24168.620512820497</v>
      </c>
      <c r="G4">
        <f>ABS(F4-C4)</f>
        <v>1708.2205128204951</v>
      </c>
    </row>
    <row r="5" spans="1:7" x14ac:dyDescent="0.25">
      <c r="A5">
        <v>2006</v>
      </c>
      <c r="B5">
        <v>2</v>
      </c>
      <c r="C5">
        <v>27887.3</v>
      </c>
      <c r="D5">
        <f t="shared" si="0"/>
        <v>4</v>
      </c>
      <c r="E5">
        <f t="shared" si="1"/>
        <v>55774.6</v>
      </c>
      <c r="F5">
        <f t="shared" si="2"/>
        <v>29113.860722610705</v>
      </c>
      <c r="G5">
        <f t="shared" ref="G5:G15" si="3">ABS(F5-C5)</f>
        <v>1226.5607226107059</v>
      </c>
    </row>
    <row r="6" spans="1:7" x14ac:dyDescent="0.25">
      <c r="A6">
        <v>2007</v>
      </c>
      <c r="B6">
        <v>3</v>
      </c>
      <c r="C6">
        <v>34819.9</v>
      </c>
      <c r="D6">
        <f t="shared" si="0"/>
        <v>9</v>
      </c>
      <c r="E6">
        <f t="shared" si="1"/>
        <v>104459.70000000001</v>
      </c>
      <c r="F6">
        <f t="shared" si="2"/>
        <v>34059.100932400921</v>
      </c>
      <c r="G6">
        <f t="shared" si="3"/>
        <v>760.79906759908044</v>
      </c>
    </row>
    <row r="7" spans="1:7" x14ac:dyDescent="0.25">
      <c r="A7">
        <v>2008</v>
      </c>
      <c r="B7">
        <v>4</v>
      </c>
      <c r="C7">
        <v>41855.9</v>
      </c>
      <c r="D7">
        <f t="shared" si="0"/>
        <v>16</v>
      </c>
      <c r="E7">
        <f t="shared" si="1"/>
        <v>167423.6</v>
      </c>
      <c r="F7">
        <f t="shared" si="2"/>
        <v>39004.34114219113</v>
      </c>
      <c r="G7">
        <f t="shared" si="3"/>
        <v>2851.5588578088718</v>
      </c>
    </row>
    <row r="8" spans="1:7" x14ac:dyDescent="0.25">
      <c r="A8">
        <v>2009</v>
      </c>
      <c r="B8">
        <v>5</v>
      </c>
      <c r="C8">
        <v>42372.9</v>
      </c>
      <c r="D8">
        <f t="shared" si="0"/>
        <v>25</v>
      </c>
      <c r="E8">
        <f t="shared" si="1"/>
        <v>211864.5</v>
      </c>
      <c r="F8">
        <f t="shared" si="2"/>
        <v>43949.581351981338</v>
      </c>
      <c r="G8">
        <f t="shared" si="3"/>
        <v>1576.6813519813368</v>
      </c>
    </row>
    <row r="9" spans="1:7" x14ac:dyDescent="0.25">
      <c r="A9">
        <v>2010</v>
      </c>
      <c r="B9">
        <v>6</v>
      </c>
      <c r="C9">
        <v>50120.800000000003</v>
      </c>
      <c r="D9">
        <f t="shared" si="0"/>
        <v>36</v>
      </c>
      <c r="E9">
        <f t="shared" si="1"/>
        <v>300724.80000000005</v>
      </c>
      <c r="F9">
        <f t="shared" si="2"/>
        <v>48894.821561771547</v>
      </c>
      <c r="G9">
        <f t="shared" si="3"/>
        <v>1225.9784382284561</v>
      </c>
    </row>
    <row r="10" spans="1:7" x14ac:dyDescent="0.25">
      <c r="A10">
        <v>2011</v>
      </c>
      <c r="B10">
        <v>7</v>
      </c>
      <c r="C10">
        <v>55769.1</v>
      </c>
      <c r="D10">
        <f t="shared" si="0"/>
        <v>49</v>
      </c>
      <c r="E10">
        <f t="shared" si="1"/>
        <v>390383.7</v>
      </c>
      <c r="F10">
        <f t="shared" si="2"/>
        <v>53840.06177156177</v>
      </c>
      <c r="G10">
        <f t="shared" si="3"/>
        <v>1929.0382284382285</v>
      </c>
    </row>
    <row r="11" spans="1:7" x14ac:dyDescent="0.25">
      <c r="A11">
        <v>2012</v>
      </c>
      <c r="B11">
        <v>8</v>
      </c>
      <c r="C11">
        <v>58925.3</v>
      </c>
      <c r="D11">
        <f t="shared" si="0"/>
        <v>64</v>
      </c>
      <c r="E11">
        <f t="shared" si="1"/>
        <v>471402.4</v>
      </c>
      <c r="F11">
        <f t="shared" si="2"/>
        <v>58785.301981351979</v>
      </c>
      <c r="G11">
        <f t="shared" si="3"/>
        <v>139.9980186480243</v>
      </c>
    </row>
    <row r="12" spans="1:7" x14ac:dyDescent="0.25">
      <c r="A12">
        <v>2013</v>
      </c>
      <c r="B12">
        <v>9</v>
      </c>
      <c r="C12">
        <v>63326.5</v>
      </c>
      <c r="D12">
        <f t="shared" si="0"/>
        <v>81</v>
      </c>
      <c r="E12">
        <f t="shared" si="1"/>
        <v>569938.5</v>
      </c>
      <c r="F12">
        <f t="shared" si="2"/>
        <v>63730.542191142187</v>
      </c>
      <c r="G12">
        <f t="shared" si="3"/>
        <v>404.04219114218722</v>
      </c>
    </row>
    <row r="13" spans="1:7" x14ac:dyDescent="0.25">
      <c r="A13">
        <v>2014</v>
      </c>
      <c r="B13">
        <v>10</v>
      </c>
      <c r="C13">
        <v>68482.7</v>
      </c>
      <c r="D13">
        <f t="shared" si="0"/>
        <v>100</v>
      </c>
      <c r="E13">
        <f t="shared" si="1"/>
        <v>684827</v>
      </c>
      <c r="F13">
        <f t="shared" si="2"/>
        <v>68675.782400932396</v>
      </c>
      <c r="G13">
        <f t="shared" si="3"/>
        <v>193.08240093239874</v>
      </c>
    </row>
    <row r="14" spans="1:7" x14ac:dyDescent="0.25">
      <c r="A14">
        <v>2015</v>
      </c>
      <c r="B14">
        <v>11</v>
      </c>
      <c r="C14">
        <v>70091.399999999994</v>
      </c>
      <c r="D14">
        <f t="shared" si="0"/>
        <v>121</v>
      </c>
      <c r="E14">
        <f t="shared" si="1"/>
        <v>771005.39999999991</v>
      </c>
      <c r="F14">
        <f t="shared" si="2"/>
        <v>73621.022610722604</v>
      </c>
      <c r="G14">
        <f t="shared" si="3"/>
        <v>3529.6226107226103</v>
      </c>
    </row>
    <row r="15" spans="1:7" x14ac:dyDescent="0.25">
      <c r="A15">
        <v>2016</v>
      </c>
      <c r="B15">
        <v>12</v>
      </c>
      <c r="C15">
        <v>80297.100000000006</v>
      </c>
      <c r="D15">
        <f t="shared" si="0"/>
        <v>144</v>
      </c>
      <c r="E15">
        <f t="shared" si="1"/>
        <v>963565.20000000007</v>
      </c>
      <c r="F15">
        <f t="shared" si="2"/>
        <v>78566.262820512813</v>
      </c>
      <c r="G15">
        <f t="shared" si="3"/>
        <v>1730.8371794871928</v>
      </c>
    </row>
    <row r="16" spans="1:7" ht="15.75" thickBot="1" x14ac:dyDescent="0.3">
      <c r="A16" s="4" t="s">
        <v>7</v>
      </c>
      <c r="B16" s="4">
        <f>SUM(B4:B15)</f>
        <v>78</v>
      </c>
      <c r="C16" s="4">
        <f>SUM(C4:C15)</f>
        <v>616409.29999999993</v>
      </c>
      <c r="D16" s="4">
        <f>SUM(D4:D15)</f>
        <v>650</v>
      </c>
      <c r="E16" s="4">
        <f>SUM(E4:E15)</f>
        <v>4713829.8</v>
      </c>
      <c r="F16" s="4"/>
      <c r="G16" s="4">
        <f>SUM(G4:G15)</f>
        <v>17276.419580419588</v>
      </c>
    </row>
    <row r="17" spans="1:2" ht="15.75" thickTop="1" x14ac:dyDescent="0.25"/>
    <row r="18" spans="1:2" x14ac:dyDescent="0.25">
      <c r="A18" s="3" t="s">
        <v>8</v>
      </c>
      <c r="B18" s="3">
        <f>(12*E16-B16*C16)/(12*D16-B16^2)</f>
        <v>4945.2402097902113</v>
      </c>
    </row>
    <row r="19" spans="1:2" x14ac:dyDescent="0.25">
      <c r="A19" s="3" t="s">
        <v>9</v>
      </c>
      <c r="B19" s="3">
        <f>(C16-B18*B16)/12</f>
        <v>19223.380303030284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МНК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Тимофей Базолий</cp:lastModifiedBy>
  <dcterms:created xsi:type="dcterms:W3CDTF">2026-05-12T05:52:20Z</dcterms:created>
  <dcterms:modified xsi:type="dcterms:W3CDTF">2026-05-12T06:00:42Z</dcterms:modified>
</cp:coreProperties>
</file>