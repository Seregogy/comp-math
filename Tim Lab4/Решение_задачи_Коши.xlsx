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br\Downloads\"/>
    </mc:Choice>
  </mc:AlternateContent>
  <xr:revisionPtr revIDLastSave="0" documentId="13_ncr:1_{543DBBBD-774B-4D08-BFB6-9641680BC567}" xr6:coauthVersionLast="47" xr6:coauthVersionMax="47" xr10:uidLastSave="{00000000-0000-0000-0000-000000000000}"/>
  <bookViews>
    <workbookView xWindow="4920" yWindow="3165" windowWidth="28800" windowHeight="15420" activeTab="1" xr2:uid="{E3672D0D-C8CD-4B02-AE15-812B09E530CF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/>
  <c r="B3" i="2" s="1"/>
  <c r="B4" i="2" l="1"/>
  <c r="B2" i="2"/>
  <c r="B12" i="2"/>
  <c r="B11" i="2"/>
  <c r="B10" i="2"/>
  <c r="B9" i="2"/>
  <c r="B8" i="2"/>
  <c r="B7" i="2"/>
  <c r="B6" i="2"/>
  <c r="B5" i="2"/>
  <c r="C2" i="2"/>
  <c r="D2" i="2"/>
  <c r="F2" i="1"/>
  <c r="E4" i="1"/>
  <c r="E5" i="1"/>
  <c r="E6" i="1"/>
  <c r="E7" i="1"/>
  <c r="E8" i="1"/>
  <c r="E10" i="1"/>
  <c r="E11" i="1"/>
  <c r="E12" i="1"/>
  <c r="E27" i="1"/>
  <c r="E28" i="1"/>
  <c r="E29" i="1"/>
  <c r="E30" i="1"/>
  <c r="E31" i="1"/>
  <c r="E32" i="1"/>
  <c r="E21" i="1"/>
  <c r="E22" i="1"/>
  <c r="E23" i="1"/>
  <c r="E24" i="1"/>
  <c r="E25" i="1"/>
  <c r="E26" i="1"/>
  <c r="E13" i="1"/>
  <c r="E14" i="1"/>
  <c r="E15" i="1"/>
  <c r="E16" i="1"/>
  <c r="E17" i="1"/>
  <c r="E18" i="1"/>
  <c r="E19" i="1"/>
  <c r="E20" i="1"/>
  <c r="I1" i="1"/>
  <c r="I3" i="1"/>
  <c r="I7" i="1"/>
  <c r="I9" i="1"/>
  <c r="J2" i="1"/>
  <c r="K2" i="1"/>
  <c r="L2" i="1"/>
  <c r="K4" i="1"/>
  <c r="J4" i="1"/>
  <c r="H4" i="1"/>
  <c r="H6" i="1"/>
  <c r="H7" i="1"/>
  <c r="H11" i="1"/>
  <c r="H9" i="1"/>
  <c r="G12" i="1"/>
  <c r="F12" i="1"/>
  <c r="F6" i="1"/>
  <c r="G6" i="1"/>
  <c r="G5" i="1"/>
  <c r="F9" i="1"/>
  <c r="G8" i="1"/>
  <c r="G10" i="1"/>
  <c r="G11" i="1"/>
  <c r="F11" i="1"/>
  <c r="G3" i="1"/>
  <c r="G4" i="1"/>
  <c r="G7" i="1"/>
  <c r="D3" i="1"/>
  <c r="D4" i="1"/>
  <c r="D5" i="1"/>
  <c r="D6" i="1"/>
  <c r="D7" i="1"/>
  <c r="D8" i="1"/>
  <c r="D9" i="1"/>
  <c r="D10" i="1"/>
  <c r="D11" i="1"/>
  <c r="D12" i="1"/>
  <c r="D2" i="1"/>
  <c r="F7" i="1"/>
  <c r="F5" i="1"/>
  <c r="F3" i="1"/>
  <c r="C4" i="1"/>
  <c r="C5" i="1" s="1"/>
  <c r="C6" i="1" s="1"/>
  <c r="C7" i="1" s="1"/>
  <c r="C8" i="1" s="1"/>
  <c r="C9" i="1" s="1"/>
  <c r="C10" i="1" s="1"/>
  <c r="C11" i="1" s="1"/>
  <c r="C12" i="1" s="1"/>
  <c r="C3" i="1"/>
  <c r="B2" i="1"/>
  <c r="H2" i="1"/>
  <c r="C2" i="1"/>
  <c r="B3" i="1"/>
  <c r="B4" i="1"/>
  <c r="B5" i="1"/>
  <c r="B6" i="1"/>
  <c r="B7" i="1"/>
  <c r="B8" i="1"/>
  <c r="B9" i="1"/>
  <c r="B10" i="1"/>
  <c r="B11" i="1"/>
  <c r="B12" i="1"/>
  <c r="F10" i="1"/>
  <c r="E2" i="2" l="1"/>
  <c r="C3" i="2"/>
  <c r="D3" i="2" s="1"/>
  <c r="C4" i="2" s="1"/>
  <c r="D4" i="2" l="1"/>
  <c r="E4" i="2" s="1"/>
  <c r="E3" i="2"/>
  <c r="C5" i="2" l="1"/>
  <c r="D5" i="2"/>
  <c r="E5" i="2" s="1"/>
  <c r="C6" i="2" l="1"/>
  <c r="D6" i="2" s="1"/>
  <c r="E6" i="2" l="1"/>
  <c r="C7" i="2"/>
  <c r="D7" i="2"/>
  <c r="E7" i="2" s="1"/>
  <c r="C8" i="2" l="1"/>
  <c r="D8" i="2" l="1"/>
  <c r="C9" i="2" s="1"/>
  <c r="E8" i="2" l="1"/>
  <c r="D9" i="2"/>
  <c r="C10" i="2" s="1"/>
  <c r="E9" i="2" l="1"/>
  <c r="D10" i="2"/>
  <c r="C11" i="2" s="1"/>
  <c r="E10" i="2" l="1"/>
  <c r="D11" i="2"/>
  <c r="C12" i="2" s="1"/>
  <c r="E11" i="2" l="1"/>
  <c r="D12" i="2"/>
  <c r="E12" i="2"/>
</calcChain>
</file>

<file path=xl/sharedStrings.xml><?xml version="1.0" encoding="utf-8"?>
<sst xmlns="http://schemas.openxmlformats.org/spreadsheetml/2006/main" count="19" uniqueCount="14">
  <si>
    <t>h</t>
  </si>
  <si>
    <t>k</t>
  </si>
  <si>
    <t>xk</t>
  </si>
  <si>
    <t>yk</t>
  </si>
  <si>
    <t>f(xk,yk)</t>
  </si>
  <si>
    <t>y(xk+1)</t>
  </si>
  <si>
    <t>∆(y)</t>
  </si>
  <si>
    <t>кпукп</t>
  </si>
  <si>
    <t>лнгл</t>
  </si>
  <si>
    <t>дгплгшлэ</t>
  </si>
  <si>
    <t>цуа</t>
  </si>
  <si>
    <t>y k+1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</si>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</sst>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rgb="FFF9FAFB"/>
      <name val="Consolas"/>
      <family val="3"/>
      <charset val="204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2" fontId="1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2" fillId="2" borderId="1" xfId="1" applyNumberFormat="1" applyBorder="1"/>
    <xf numFmtId="164" fontId="2" fillId="2" borderId="1" xfId="1" applyNumberFormat="1" applyBorder="1"/>
    <xf numFmtId="0" fontId="2" fillId="3" borderId="1" xfId="2" applyBorder="1" applyAlignment="1">
      <alignment horizontal="center"/>
    </xf>
    <xf numFmtId="165" fontId="2" fillId="2" borderId="1" xfId="1" applyNumberFormat="1" applyBorder="1"/>
    <xf numFmtId="1" fontId="2" fillId="2" borderId="1" xfId="1" applyNumberFormat="1" applyBorder="1"/>
    <xf numFmtId="2" fontId="0" fillId="0" borderId="1" xfId="0" applyNumberFormat="1" applyBorder="1" applyAlignment="1">
      <alignment horizontal="center"/>
    </xf>
  </cellXfs>
  <cellStyles count="3">
    <cellStyle name="20% — акцент6" xfId="1" builtinId="50"/>
    <cellStyle name="40% — акцент6" xfId="2" builtin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Лист2!$B$2:$B$12</c:f>
              <c:numCache>
                <c:formatCode>0.00</c:formatCode>
                <c:ptCount val="11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1.2000000000000002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</c:numCache>
            </c:numRef>
          </c:xVal>
          <c:yVal>
            <c:numRef>
              <c:f>Лист2!$C$2:$C$12</c:f>
              <c:numCache>
                <c:formatCode>0.000000</c:formatCode>
                <c:ptCount val="11"/>
                <c:pt idx="0">
                  <c:v>0.6</c:v>
                </c:pt>
                <c:pt idx="1">
                  <c:v>0.7499573603041505</c:v>
                </c:pt>
                <c:pt idx="2">
                  <c:v>0.90835671493785253</c:v>
                </c:pt>
                <c:pt idx="3">
                  <c:v>1.0727132587666084</c:v>
                </c:pt>
                <c:pt idx="4">
                  <c:v>1.2403794511581983</c:v>
                </c:pt>
                <c:pt idx="5">
                  <c:v>1.4087874983275721</c:v>
                </c:pt>
                <c:pt idx="6">
                  <c:v>1.5756832321671803</c:v>
                </c:pt>
                <c:pt idx="7">
                  <c:v>1.7393016003136539</c:v>
                </c:pt>
                <c:pt idx="8">
                  <c:v>1.8984543521393566</c:v>
                </c:pt>
                <c:pt idx="9">
                  <c:v>2.0525293323634193</c:v>
                </c:pt>
                <c:pt idx="10">
                  <c:v>2.2014238945755831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F-4613-A869-F692B7D88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352527"/>
        <c:axId val="1814343887"/>
      </c:scatterChart>
      <c:valAx>
        <c:axId val="181435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343887"/>
        <c:crosses val="autoZero"/>
        <c:crossBetween val="midCat"/>
      </c:valAx>
      <c:valAx>
        <c:axId val="18143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y(x)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35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34491</xdr:colOff>
      <xdr:row>12</xdr:row>
      <xdr:rowOff>11079</xdr:rowOff>
    </xdr:from>
    <xdr:to>
      <xdr:col>5</xdr:col>
      <xdr:colOff>501315</xdr:colOff>
      <xdr:row>26</xdr:row>
      <xdr:rowOff>87279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27D8795-159D-0C8B-EDCF-9DE4086CA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7A7A-679A-47D7-B16C-31CD442930CB}">
  <dimension ref="A1:L32"/>
  <sheetViews>
    <sheetView workbookViewId="0">
      <selection activeCell="H1" sqref="H1:H2"/>
    </sheetView>
  </sheetViews>
  <sheetFormatPr defaultRowHeight="15" x14ac:dyDescent="0.25"/>
  <cols>
    <col min="2" max="2" width="9.42578125" customWidth="1"/>
    <col min="5" max="5" width="9.140625" style="3"/>
  </cols>
  <sheetData>
    <row r="1" spans="1:12" x14ac:dyDescent="0.25">
      <c r="A1" s="4" t="s">
        <v>1</v>
      </c>
      <c r="B1" s="4" t="s">
        <v>2</v>
      </c>
      <c r="C1" s="4" t="s">
        <v>3</v>
      </c>
      <c r="D1" s="4" t="s">
        <v>4</v>
      </c>
      <c r="E1" s="2" t="s">
        <v>7</v>
      </c>
      <c r="F1" s="4" t="s">
        <v>5</v>
      </c>
      <c r="G1" s="4" t="s">
        <v>6</v>
      </c>
      <c r="H1" s="4" t="s">
        <v>0</v>
      </c>
      <c r="I1" s="3">
        <f>C2+$H$2*D2</f>
        <v>3.2813847630878197</v>
      </c>
    </row>
    <row r="2" spans="1:12" x14ac:dyDescent="0.25">
      <c r="A2" s="3">
        <v>0</v>
      </c>
      <c r="B2" s="3">
        <f>1.8 + $H$2*A2</f>
        <v>1.8</v>
      </c>
      <c r="C2" s="3">
        <f>2.6</f>
        <v>2.6</v>
      </c>
      <c r="D2" s="3">
        <f>B2*B2+SIN(B2)+C2</f>
        <v>6.813847630878195</v>
      </c>
      <c r="E2" s="1" t="s">
        <v>10</v>
      </c>
      <c r="F2" s="3">
        <f>12</f>
        <v>12</v>
      </c>
      <c r="G2" s="3"/>
      <c r="H2" s="3">
        <f>(2.8-1.8)/10</f>
        <v>9.9999999999999978E-2</v>
      </c>
      <c r="I2" s="3"/>
      <c r="J2">
        <f>C2+$H$2*D2</f>
        <v>3.2813847630878197</v>
      </c>
      <c r="K2">
        <f>C2+$H$2*D2</f>
        <v>3.2813847630878197</v>
      </c>
      <c r="L2">
        <f>C2+$H$2*D2</f>
        <v>3.2813847630878197</v>
      </c>
    </row>
    <row r="3" spans="1:12" x14ac:dyDescent="0.25">
      <c r="A3" s="3">
        <v>1</v>
      </c>
      <c r="B3" s="3">
        <f t="shared" ref="B3:B12" si="0">1.8 + $H$2*A3</f>
        <v>1.9</v>
      </c>
      <c r="C3" s="3">
        <f>C2+$H$2*(B2^2+SIN(B2)+C2)</f>
        <v>3.2813847630878197</v>
      </c>
      <c r="D3" s="3">
        <f t="shared" ref="D3:D12" si="1">B3*B3+SIN(B3)+C3</f>
        <v>7.8376848507752337</v>
      </c>
      <c r="E3" s="1" t="s">
        <v>8</v>
      </c>
      <c r="F3" s="3">
        <f>B2*B2+SIN(B2)+C2</f>
        <v>6.813847630878195</v>
      </c>
      <c r="G3" s="3" t="e">
        <f>C2+$H$1*D2</f>
        <v>#VALUE!</v>
      </c>
      <c r="H3" s="3"/>
      <c r="I3" s="3">
        <f>C2+$H$2*D2</f>
        <v>3.2813847630878197</v>
      </c>
    </row>
    <row r="4" spans="1:12" x14ac:dyDescent="0.25">
      <c r="A4" s="3">
        <v>2</v>
      </c>
      <c r="B4" s="3">
        <f t="shared" si="0"/>
        <v>2</v>
      </c>
      <c r="C4" s="3">
        <f t="shared" ref="C4:C12" si="2">C3+$H$2*(B3^2+SIN(B3)+C3)</f>
        <v>4.065153248165343</v>
      </c>
      <c r="D4" s="3">
        <f t="shared" si="1"/>
        <v>8.9744506749910258</v>
      </c>
      <c r="E4" s="1">
        <f>12</f>
        <v>12</v>
      </c>
      <c r="F4" s="3"/>
      <c r="G4" s="3" t="e">
        <f>C2+$H$1*D2</f>
        <v>#VALUE!</v>
      </c>
      <c r="H4" s="3">
        <f>C2+$H$2*D2</f>
        <v>3.2813847630878197</v>
      </c>
      <c r="I4" s="3"/>
      <c r="J4">
        <f>C2+$H$2*D2</f>
        <v>3.2813847630878197</v>
      </c>
      <c r="K4">
        <f>C2+$H$2*D2</f>
        <v>3.2813847630878197</v>
      </c>
    </row>
    <row r="5" spans="1:12" x14ac:dyDescent="0.25">
      <c r="A5" s="3">
        <v>3</v>
      </c>
      <c r="B5" s="3">
        <f t="shared" si="0"/>
        <v>2.1</v>
      </c>
      <c r="C5" s="3">
        <f t="shared" si="2"/>
        <v>4.9625983156644455</v>
      </c>
      <c r="D5" s="3">
        <f t="shared" si="1"/>
        <v>10.235807682313318</v>
      </c>
      <c r="E5" s="1">
        <f>12</f>
        <v>12</v>
      </c>
      <c r="F5" s="3">
        <f>B2*B2+SIN(B2)+C2</f>
        <v>6.813847630878195</v>
      </c>
      <c r="G5" s="3">
        <f>C2+$H$2*D2</f>
        <v>3.2813847630878197</v>
      </c>
      <c r="H5" s="3"/>
      <c r="I5" s="3"/>
    </row>
    <row r="6" spans="1:12" x14ac:dyDescent="0.25">
      <c r="A6" s="3">
        <v>4</v>
      </c>
      <c r="B6" s="3">
        <f t="shared" si="0"/>
        <v>2.2000000000000002</v>
      </c>
      <c r="C6" s="3">
        <f t="shared" si="2"/>
        <v>5.9861790838957774</v>
      </c>
      <c r="D6" s="3">
        <f t="shared" si="1"/>
        <v>11.634675487715368</v>
      </c>
      <c r="E6" s="1">
        <f>12</f>
        <v>12</v>
      </c>
      <c r="F6" s="3">
        <f>C2+$H$2*D2</f>
        <v>3.2813847630878197</v>
      </c>
      <c r="G6" s="3">
        <f>C2+$H$2*D2</f>
        <v>3.2813847630878197</v>
      </c>
      <c r="H6" s="3">
        <f>C2+$H$2*D2</f>
        <v>3.2813847630878197</v>
      </c>
      <c r="I6" s="3"/>
    </row>
    <row r="7" spans="1:12" x14ac:dyDescent="0.25">
      <c r="A7" s="3">
        <v>5</v>
      </c>
      <c r="B7" s="3">
        <f t="shared" si="0"/>
        <v>2.2999999999999998</v>
      </c>
      <c r="C7" s="3">
        <f t="shared" si="2"/>
        <v>7.1496466326673138</v>
      </c>
      <c r="D7" s="3">
        <f t="shared" si="1"/>
        <v>13.185351844844032</v>
      </c>
      <c r="E7" s="1">
        <f>12</f>
        <v>12</v>
      </c>
      <c r="F7" s="3">
        <f>B2*B2+SIN(B2)+C2</f>
        <v>6.813847630878195</v>
      </c>
      <c r="G7" s="3" t="e">
        <f>C2+$H$1*D2</f>
        <v>#VALUE!</v>
      </c>
      <c r="H7" s="3">
        <f>C2+$H$2*D2</f>
        <v>3.2813847630878197</v>
      </c>
      <c r="I7" s="3">
        <f>C2+$H$2*D2</f>
        <v>3.2813847630878197</v>
      </c>
    </row>
    <row r="8" spans="1:12" x14ac:dyDescent="0.25">
      <c r="A8" s="3">
        <v>6</v>
      </c>
      <c r="B8" s="3">
        <f t="shared" si="0"/>
        <v>2.4</v>
      </c>
      <c r="C8" s="3">
        <f t="shared" si="2"/>
        <v>8.4681818171517165</v>
      </c>
      <c r="D8" s="3">
        <f t="shared" si="1"/>
        <v>14.903644997702866</v>
      </c>
      <c r="E8" s="1">
        <f>12</f>
        <v>12</v>
      </c>
      <c r="F8" s="3"/>
      <c r="G8" s="3">
        <f>C2+$H$2*D2</f>
        <v>3.2813847630878197</v>
      </c>
      <c r="H8" s="3"/>
      <c r="I8" s="3"/>
    </row>
    <row r="9" spans="1:12" x14ac:dyDescent="0.25">
      <c r="A9" s="3">
        <v>7</v>
      </c>
      <c r="B9" s="3">
        <f t="shared" si="0"/>
        <v>2.5</v>
      </c>
      <c r="C9" s="3">
        <f t="shared" si="2"/>
        <v>9.9585463169220034</v>
      </c>
      <c r="D9" s="3">
        <f t="shared" si="1"/>
        <v>16.807018461025962</v>
      </c>
      <c r="E9" s="1" t="s">
        <v>9</v>
      </c>
      <c r="F9" s="3">
        <f>C2+$H$2*D2</f>
        <v>3.2813847630878197</v>
      </c>
      <c r="G9" s="3"/>
      <c r="H9" s="3">
        <f>C2+$H$2*D2</f>
        <v>3.2813847630878197</v>
      </c>
      <c r="I9" s="3">
        <f>C2+$H$2*D2</f>
        <v>3.2813847630878197</v>
      </c>
    </row>
    <row r="10" spans="1:12" x14ac:dyDescent="0.25">
      <c r="A10" s="3">
        <v>8</v>
      </c>
      <c r="B10" s="3">
        <f t="shared" si="0"/>
        <v>2.5999999999999996</v>
      </c>
      <c r="C10" s="3">
        <f t="shared" si="2"/>
        <v>11.639248163024599</v>
      </c>
      <c r="D10" s="3">
        <f t="shared" si="1"/>
        <v>18.914749534846059</v>
      </c>
      <c r="E10" s="1">
        <f>12</f>
        <v>12</v>
      </c>
      <c r="F10" s="3" t="b">
        <f>E2=C2+$H$2*D2</f>
        <v>0</v>
      </c>
      <c r="G10" s="3">
        <f>C2+$H$2*D2</f>
        <v>3.2813847630878197</v>
      </c>
      <c r="H10" s="3"/>
      <c r="I10" s="3"/>
    </row>
    <row r="11" spans="1:12" x14ac:dyDescent="0.25">
      <c r="A11" s="3">
        <v>9</v>
      </c>
      <c r="B11" s="3">
        <f t="shared" si="0"/>
        <v>2.6999999999999997</v>
      </c>
      <c r="C11" s="3">
        <f t="shared" si="2"/>
        <v>13.530723116509204</v>
      </c>
      <c r="D11" s="3">
        <f t="shared" si="1"/>
        <v>21.248102996743032</v>
      </c>
      <c r="E11" s="1">
        <f>12</f>
        <v>12</v>
      </c>
      <c r="F11" s="3">
        <f>C2+$H$2*D2</f>
        <v>3.2813847630878197</v>
      </c>
      <c r="G11" s="3">
        <f>C2+$H$2*D2</f>
        <v>3.2813847630878197</v>
      </c>
      <c r="H11" s="3">
        <f>C2+$H$2*D2</f>
        <v>3.2813847630878197</v>
      </c>
      <c r="I11" s="3"/>
    </row>
    <row r="12" spans="1:12" x14ac:dyDescent="0.25">
      <c r="A12" s="3">
        <v>10</v>
      </c>
      <c r="B12" s="3">
        <f t="shared" si="0"/>
        <v>2.8</v>
      </c>
      <c r="C12" s="3">
        <f t="shared" si="2"/>
        <v>15.655533416183507</v>
      </c>
      <c r="D12" s="3">
        <f t="shared" si="1"/>
        <v>23.830521566339414</v>
      </c>
      <c r="E12" s="1">
        <f>12</f>
        <v>12</v>
      </c>
      <c r="F12" s="3">
        <f>C2+$H$2*D2</f>
        <v>3.2813847630878197</v>
      </c>
      <c r="G12" s="3">
        <f>C2+$H$2*D2</f>
        <v>3.2813847630878197</v>
      </c>
      <c r="H12" s="3"/>
      <c r="I12" s="3"/>
    </row>
    <row r="13" spans="1:12" x14ac:dyDescent="0.25">
      <c r="A13" s="3"/>
      <c r="B13" s="3"/>
      <c r="C13" s="3"/>
      <c r="D13" s="3"/>
      <c r="E13" s="1">
        <f t="shared" ref="E13:E32" si="3">C13 + $H$2*D13</f>
        <v>0</v>
      </c>
      <c r="F13" s="3"/>
      <c r="G13" s="3"/>
      <c r="H13" s="3"/>
      <c r="I13" s="3"/>
    </row>
    <row r="14" spans="1:12" x14ac:dyDescent="0.25">
      <c r="A14" s="3"/>
      <c r="B14" s="3"/>
      <c r="C14" s="3"/>
      <c r="D14" s="3"/>
      <c r="E14" s="1">
        <f t="shared" si="3"/>
        <v>0</v>
      </c>
      <c r="F14" s="3"/>
      <c r="G14" s="3"/>
      <c r="H14" s="3"/>
      <c r="I14" s="3"/>
    </row>
    <row r="15" spans="1:12" x14ac:dyDescent="0.25">
      <c r="E15" s="1">
        <f t="shared" si="3"/>
        <v>0</v>
      </c>
    </row>
    <row r="16" spans="1:12" x14ac:dyDescent="0.25">
      <c r="E16" s="1">
        <f t="shared" si="3"/>
        <v>0</v>
      </c>
    </row>
    <row r="17" spans="5:5" x14ac:dyDescent="0.25">
      <c r="E17" s="1">
        <f t="shared" si="3"/>
        <v>0</v>
      </c>
    </row>
    <row r="18" spans="5:5" x14ac:dyDescent="0.25">
      <c r="E18" s="1">
        <f t="shared" si="3"/>
        <v>0</v>
      </c>
    </row>
    <row r="19" spans="5:5" x14ac:dyDescent="0.25">
      <c r="E19" s="1">
        <f t="shared" si="3"/>
        <v>0</v>
      </c>
    </row>
    <row r="20" spans="5:5" x14ac:dyDescent="0.25">
      <c r="E20" s="1">
        <f t="shared" si="3"/>
        <v>0</v>
      </c>
    </row>
    <row r="21" spans="5:5" x14ac:dyDescent="0.25">
      <c r="E21" s="1">
        <f>C21 + $H$2*D21</f>
        <v>0</v>
      </c>
    </row>
    <row r="22" spans="5:5" x14ac:dyDescent="0.25">
      <c r="E22" s="1">
        <f t="shared" si="3"/>
        <v>0</v>
      </c>
    </row>
    <row r="23" spans="5:5" x14ac:dyDescent="0.25">
      <c r="E23" s="1">
        <f t="shared" si="3"/>
        <v>0</v>
      </c>
    </row>
    <row r="24" spans="5:5" x14ac:dyDescent="0.25">
      <c r="E24" s="1">
        <f t="shared" si="3"/>
        <v>0</v>
      </c>
    </row>
    <row r="25" spans="5:5" x14ac:dyDescent="0.25">
      <c r="E25" s="1">
        <f t="shared" si="3"/>
        <v>0</v>
      </c>
    </row>
    <row r="26" spans="5:5" x14ac:dyDescent="0.25">
      <c r="E26" s="1">
        <f t="shared" si="3"/>
        <v>0</v>
      </c>
    </row>
    <row r="27" spans="5:5" x14ac:dyDescent="0.25">
      <c r="E27" s="1">
        <f>C27 + $H$2*D27</f>
        <v>0</v>
      </c>
    </row>
    <row r="28" spans="5:5" x14ac:dyDescent="0.25">
      <c r="E28" s="1">
        <f t="shared" si="3"/>
        <v>0</v>
      </c>
    </row>
    <row r="29" spans="5:5" x14ac:dyDescent="0.25">
      <c r="E29" s="1">
        <f t="shared" si="3"/>
        <v>0</v>
      </c>
    </row>
    <row r="30" spans="5:5" x14ac:dyDescent="0.25">
      <c r="E30" s="1">
        <f t="shared" si="3"/>
        <v>0</v>
      </c>
    </row>
    <row r="31" spans="5:5" x14ac:dyDescent="0.25">
      <c r="E31" s="1">
        <f t="shared" si="3"/>
        <v>0</v>
      </c>
    </row>
    <row r="32" spans="5:5" x14ac:dyDescent="0.25">
      <c r="E32" s="1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8FF6-4DEE-4988-9083-A41D46DDF5EB}">
  <dimension ref="A1:G12"/>
  <sheetViews>
    <sheetView tabSelected="1" zoomScale="190" zoomScaleNormal="190" workbookViewId="0">
      <selection activeCell="K10" sqref="K10"/>
    </sheetView>
  </sheetViews>
  <sheetFormatPr defaultRowHeight="15" x14ac:dyDescent="0.25"/>
  <cols>
    <col min="1" max="1" width="4.28515625" customWidth="1"/>
    <col min="2" max="2" width="6.140625" customWidth="1"/>
    <col min="3" max="3" width="15.42578125" customWidth="1"/>
    <col min="7" max="7" width="5.7109375" customWidth="1"/>
    <col min="8" max="8" width="5.42578125" customWidth="1"/>
    <col min="9" max="9" width="3.85546875" customWidth="1"/>
  </cols>
  <sheetData>
    <row r="1" spans="1:7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11</v>
      </c>
      <c r="F1" s="4"/>
      <c r="G1" s="5" t="s">
        <v>0</v>
      </c>
    </row>
    <row r="2" spans="1:7" x14ac:dyDescent="0.25">
      <c r="A2" s="10">
        <v>0</v>
      </c>
      <c r="B2" s="6">
        <f>$G$5 + $G$2*A2</f>
        <v>0.5</v>
      </c>
      <c r="C2" s="9">
        <f>0.6</f>
        <v>0.6</v>
      </c>
      <c r="D2" s="7">
        <f>B2+SIN(C2+1)</f>
        <v>1.499573603041505</v>
      </c>
      <c r="E2" s="7">
        <f>C2 +$G$2*D2</f>
        <v>0.7499573603041505</v>
      </c>
      <c r="F2" s="3"/>
      <c r="G2" s="11">
        <f>(G8-G5)/10</f>
        <v>0.1</v>
      </c>
    </row>
    <row r="3" spans="1:7" x14ac:dyDescent="0.25">
      <c r="A3" s="10">
        <v>1</v>
      </c>
      <c r="B3" s="6">
        <f>$G$5 + $G$2*A3</f>
        <v>0.6</v>
      </c>
      <c r="C3" s="9">
        <f>C2 + $G$2 * D2</f>
        <v>0.7499573603041505</v>
      </c>
      <c r="D3" s="7">
        <f t="shared" ref="D3:D12" si="0">B3+SIN(C3+1)</f>
        <v>1.5839935463370201</v>
      </c>
      <c r="E3" s="7">
        <f t="shared" ref="E3:E12" si="1">C3 +$G$2*D3</f>
        <v>0.90835671493785253</v>
      </c>
      <c r="F3" s="3"/>
    </row>
    <row r="4" spans="1:7" x14ac:dyDescent="0.25">
      <c r="A4" s="10">
        <v>2</v>
      </c>
      <c r="B4" s="6">
        <f>$G$5 + $G$2*A4</f>
        <v>0.7</v>
      </c>
      <c r="C4" s="9">
        <f t="shared" ref="C4:C12" si="2">C3 + $G$2 * D3</f>
        <v>0.90835671493785253</v>
      </c>
      <c r="D4" s="7">
        <f t="shared" si="0"/>
        <v>1.6435654382875593</v>
      </c>
      <c r="E4" s="7">
        <f t="shared" si="1"/>
        <v>1.0727132587666084</v>
      </c>
      <c r="F4" s="3"/>
      <c r="G4" s="5" t="s">
        <v>12</v>
      </c>
    </row>
    <row r="5" spans="1:7" x14ac:dyDescent="0.25">
      <c r="A5" s="10">
        <v>3</v>
      </c>
      <c r="B5" s="6">
        <f>$G$5 + $G$2*A5</f>
        <v>0.8</v>
      </c>
      <c r="C5" s="9">
        <f t="shared" si="2"/>
        <v>1.0727132587666084</v>
      </c>
      <c r="D5" s="7">
        <f t="shared" si="0"/>
        <v>1.6766619239158995</v>
      </c>
      <c r="E5" s="7">
        <f t="shared" si="1"/>
        <v>1.2403794511581983</v>
      </c>
      <c r="F5" s="3"/>
      <c r="G5" s="5">
        <v>0.5</v>
      </c>
    </row>
    <row r="6" spans="1:7" x14ac:dyDescent="0.25">
      <c r="A6" s="10">
        <v>4</v>
      </c>
      <c r="B6" s="6">
        <f>$G$5 + $G$2*A6</f>
        <v>0.9</v>
      </c>
      <c r="C6" s="9">
        <f t="shared" si="2"/>
        <v>1.2403794511581983</v>
      </c>
      <c r="D6" s="7">
        <f t="shared" si="0"/>
        <v>1.6840804716937385</v>
      </c>
      <c r="E6" s="7">
        <f t="shared" si="1"/>
        <v>1.4087874983275721</v>
      </c>
      <c r="F6" s="3"/>
    </row>
    <row r="7" spans="1:7" x14ac:dyDescent="0.25">
      <c r="A7" s="10">
        <v>5</v>
      </c>
      <c r="B7" s="6">
        <f>$G$5 + $G$2*A7</f>
        <v>1</v>
      </c>
      <c r="C7" s="9">
        <f t="shared" si="2"/>
        <v>1.4087874983275721</v>
      </c>
      <c r="D7" s="7">
        <f t="shared" si="0"/>
        <v>1.6689573383960812</v>
      </c>
      <c r="E7" s="7">
        <f t="shared" si="1"/>
        <v>1.5756832321671803</v>
      </c>
      <c r="F7" s="3"/>
      <c r="G7" s="5" t="s">
        <v>13</v>
      </c>
    </row>
    <row r="8" spans="1:7" x14ac:dyDescent="0.25">
      <c r="A8" s="10">
        <v>6</v>
      </c>
      <c r="B8" s="6">
        <f>$G$5 + $G$2*A8</f>
        <v>1.1000000000000001</v>
      </c>
      <c r="C8" s="9">
        <f t="shared" si="2"/>
        <v>1.5756832321671803</v>
      </c>
      <c r="D8" s="7">
        <f t="shared" si="0"/>
        <v>1.6361836814647355</v>
      </c>
      <c r="E8" s="7">
        <f t="shared" si="1"/>
        <v>1.7393016003136539</v>
      </c>
      <c r="F8" s="3"/>
      <c r="G8" s="5">
        <v>1.5</v>
      </c>
    </row>
    <row r="9" spans="1:7" x14ac:dyDescent="0.25">
      <c r="A9" s="10">
        <v>7</v>
      </c>
      <c r="B9" s="6">
        <f>$G$5 + $G$2*A9</f>
        <v>1.2000000000000002</v>
      </c>
      <c r="C9" s="9">
        <f t="shared" si="2"/>
        <v>1.7393016003136539</v>
      </c>
      <c r="D9" s="7">
        <f t="shared" si="0"/>
        <v>1.5915275182570272</v>
      </c>
      <c r="E9" s="7">
        <f t="shared" si="1"/>
        <v>1.8984543521393566</v>
      </c>
      <c r="F9" s="3"/>
    </row>
    <row r="10" spans="1:7" x14ac:dyDescent="0.25">
      <c r="A10" s="10">
        <v>8</v>
      </c>
      <c r="B10" s="6">
        <f>$G$5 + $G$2*A10</f>
        <v>1.3</v>
      </c>
      <c r="C10" s="9">
        <f t="shared" si="2"/>
        <v>1.8984543521393566</v>
      </c>
      <c r="D10" s="7">
        <f t="shared" si="0"/>
        <v>1.540749802240627</v>
      </c>
      <c r="E10" s="7">
        <f t="shared" si="1"/>
        <v>2.0525293323634193</v>
      </c>
      <c r="F10" s="3"/>
    </row>
    <row r="11" spans="1:7" x14ac:dyDescent="0.25">
      <c r="A11" s="10">
        <v>9</v>
      </c>
      <c r="B11" s="6">
        <f>$G$5 + $G$2*A11</f>
        <v>1.4</v>
      </c>
      <c r="C11" s="9">
        <f t="shared" si="2"/>
        <v>2.0525293323634193</v>
      </c>
      <c r="D11" s="7">
        <f t="shared" si="0"/>
        <v>1.4889456221216386</v>
      </c>
      <c r="E11" s="7">
        <f t="shared" si="1"/>
        <v>2.2014238945755831</v>
      </c>
      <c r="F11" s="3"/>
    </row>
    <row r="12" spans="1:7" x14ac:dyDescent="0.25">
      <c r="A12" s="10">
        <v>10</v>
      </c>
      <c r="B12" s="6">
        <f>$G$5 + $G$2*A12</f>
        <v>1.5</v>
      </c>
      <c r="C12" s="9">
        <f t="shared" si="2"/>
        <v>2.2014238945755831</v>
      </c>
      <c r="D12" s="7">
        <f t="shared" si="0"/>
        <v>1.4402044497127349</v>
      </c>
      <c r="E12" s="7">
        <f t="shared" si="1"/>
        <v>2.3454443395468565</v>
      </c>
      <c r="F12" s="3"/>
    </row>
  </sheetData>
  <phoneticPr fontId="3" type="noConversion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Абраменко Данил Андреевич</dc:creator>
  <cp:lastModifiedBy>Базолий Тимофей Сергеевич</cp:lastModifiedBy>
  <cp:lastPrinted>2026-06-03T21:13:22Z</cp:lastPrinted>
  <dcterms:created xsi:type="dcterms:W3CDTF">2026-05-25T14:04:35Z</dcterms:created>
  <dcterms:modified xsi:type="dcterms:W3CDTF">2026-06-03T21:27:44Z</dcterms:modified>
</cp:coreProperties>
</file>