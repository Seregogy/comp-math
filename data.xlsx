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esktop\lab11\"/>
    </mc:Choice>
  </mc:AlternateContent>
  <xr:revisionPtr revIDLastSave="0" documentId="13_ncr:1_{3FE2A70F-706B-4A6B-A29D-566633561419}" xr6:coauthVersionLast="47" xr6:coauthVersionMax="47" xr10:uidLastSave="{00000000-0000-0000-0000-000000000000}"/>
  <bookViews>
    <workbookView xWindow="-108" yWindow="-108" windowWidth="23256" windowHeight="12576" xr2:uid="{48C6213D-C6D4-4C2E-AEC1-E9589D8E97BE}"/>
  </bookViews>
  <sheets>
    <sheet name="Лист1" sheetId="1" r:id="rId1"/>
  </sheets>
  <definedNames>
    <definedName name="_xlnm._FilterDatabase" localSheetId="0" hidden="1">Лист1!$A$1:$F$41</definedName>
  </definedNames>
  <calcPr calcId="191029"/>
  <pivotCaches>
    <pivotCache cacheId="1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2" i="1"/>
</calcChain>
</file>

<file path=xl/sharedStrings.xml><?xml version="1.0" encoding="utf-8"?>
<sst xmlns="http://schemas.openxmlformats.org/spreadsheetml/2006/main" count="114" uniqueCount="43">
  <si>
    <t>TextLen</t>
  </si>
  <si>
    <t>Названия строк</t>
  </si>
  <si>
    <t>Общий итог</t>
  </si>
  <si>
    <t>Названия столбцов</t>
  </si>
  <si>
    <t>time</t>
  </si>
  <si>
    <t>Сумма по полю time</t>
  </si>
  <si>
    <t xml:space="preserve"> PatternLen</t>
  </si>
  <si>
    <t xml:space="preserve"> BuildTime_ms</t>
  </si>
  <si>
    <t xml:space="preserve"> SearchTime_ms</t>
  </si>
  <si>
    <t xml:space="preserve"> Comparisons</t>
  </si>
  <si>
    <t xml:space="preserve"> 10</t>
  </si>
  <si>
    <t xml:space="preserve"> 340</t>
  </si>
  <si>
    <t xml:space="preserve"> 670</t>
  </si>
  <si>
    <t xml:space="preserve"> 1000</t>
  </si>
  <si>
    <t xml:space="preserve"> 10000</t>
  </si>
  <si>
    <t xml:space="preserve"> 20000</t>
  </si>
  <si>
    <t xml:space="preserve"> 30000</t>
  </si>
  <si>
    <t xml:space="preserve"> 40000</t>
  </si>
  <si>
    <t xml:space="preserve"> 50000</t>
  </si>
  <si>
    <t xml:space="preserve"> 60000</t>
  </si>
  <si>
    <t xml:space="preserve"> 70000</t>
  </si>
  <si>
    <t xml:space="preserve"> 80000</t>
  </si>
  <si>
    <t xml:space="preserve"> 90000</t>
  </si>
  <si>
    <t xml:space="preserve"> 100000</t>
  </si>
  <si>
    <t>0,4019</t>
  </si>
  <si>
    <t>0,1424</t>
  </si>
  <si>
    <t>0,395</t>
  </si>
  <si>
    <t>0,4023</t>
  </si>
  <si>
    <t>0,2286</t>
  </si>
  <si>
    <t>0,1674</t>
  </si>
  <si>
    <t>0,1925</t>
  </si>
  <si>
    <t>0,2386</t>
  </si>
  <si>
    <t>0,5131</t>
  </si>
  <si>
    <t>0,1307</t>
  </si>
  <si>
    <t>0,5638</t>
  </si>
  <si>
    <t>0,6603</t>
  </si>
  <si>
    <t>0,644</t>
  </si>
  <si>
    <t>0,6397</t>
  </si>
  <si>
    <t>0,6444</t>
  </si>
  <si>
    <t>0,4112</t>
  </si>
  <si>
    <t>0,2084</t>
  </si>
  <si>
    <t>0,3579</t>
  </si>
  <si>
    <t>0,3588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</si>
</sst>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[data.xlsx]Лист1!Сводная таблица4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Лист1!$I$7:$I$8</c:f>
              <c:strCache>
                <c:ptCount val="1"/>
                <c:pt idx="0">
                  <c:v> 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Лист1!$H$9:$H$19</c:f>
              <c:strCach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strCache>
            </c:strRef>
          </c:cat>
          <c:val>
            <c:numRef>
              <c:f>Лист1!$I$9:$I$19</c:f>
              <c:numCache>
                <c:formatCode>General</c:formatCode>
                <c:ptCount val="10"/>
                <c:pt idx="0">
                  <c:v>5.2900000000000003E-2</c:v>
                </c:pt>
                <c:pt idx="1">
                  <c:v>0.15479999999999999</c:v>
                </c:pt>
                <c:pt idx="2">
                  <c:v>0.2019</c:v>
                </c:pt>
                <c:pt idx="3">
                  <c:v>0.2341</c:v>
                </c:pt>
                <c:pt idx="4">
                  <c:v>0.32479999999999998</c:v>
                </c:pt>
                <c:pt idx="5">
                  <c:v>0.36560000000000004</c:v>
                </c:pt>
                <c:pt idx="6">
                  <c:v>0.42820000000000003</c:v>
                </c:pt>
                <c:pt idx="7">
                  <c:v>0.4672</c:v>
                </c:pt>
                <c:pt idx="8">
                  <c:v>0.47250000000000003</c:v>
                </c:pt>
                <c:pt idx="9">
                  <c:v>0.47670000000000001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BB-4964-B1C3-763A090AB016}"/>
            </c:ext>
          </c:extLst>
        </c:ser>
        <c:ser>
          <c:idx val="1"/>
          <c:order val="1"/>
          <c:tx>
            <c:strRef>
              <c:f>Лист1!$J$7:$J$8</c:f>
              <c:strCache>
                <c:ptCount val="1"/>
                <c:pt idx="0">
                  <c:v> 1000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Лист1!$H$9:$H$19</c:f>
              <c:strCach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strCache>
            </c:strRef>
          </c:cat>
          <c:val>
            <c:numRef>
              <c:f>Лист1!$J$9:$J$19</c:f>
              <c:numCache>
                <c:formatCode>General</c:formatCode>
                <c:ptCount val="10"/>
                <c:pt idx="0">
                  <c:v>0.39889999999999998</c:v>
                </c:pt>
                <c:pt idx="1">
                  <c:v>0.55090000000000006</c:v>
                </c:pt>
                <c:pt idx="2">
                  <c:v>0.6038</c:v>
                </c:pt>
                <c:pt idx="3">
                  <c:v>0.64380000000000004</c:v>
                </c:pt>
                <c:pt idx="4">
                  <c:v>0.73039999999999994</c:v>
                </c:pt>
                <c:pt idx="5">
                  <c:v>0.85660000000000003</c:v>
                </c:pt>
                <c:pt idx="6">
                  <c:v>0.9346000000000001</c:v>
                </c:pt>
                <c:pt idx="7">
                  <c:v>0.90619999999999989</c:v>
                </c:pt>
                <c:pt idx="8">
                  <c:v>0.93840000000000012</c:v>
                </c:pt>
                <c:pt idx="9">
                  <c:v>1.1772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BB-4964-B1C3-763A090AB016}"/>
            </c:ext>
          </c:extLst>
        </c:ser>
        <c:ser>
          <c:idx val="2"/>
          <c:order val="2"/>
          <c:tx>
            <c:strRef>
              <c:f>Лист1!$K$7:$K$8</c:f>
              <c:strCache>
                <c:ptCount val="1"/>
                <c:pt idx="0">
                  <c:v> 340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Лист1!$H$9:$H$19</c:f>
              <c:strCach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strCache>
            </c:strRef>
          </c:cat>
          <c:val>
            <c:numRef>
              <c:f>Лист1!$K$9:$K$19</c:f>
              <c:numCache>
                <c:formatCode>General</c:formatCode>
                <c:ptCount val="10"/>
                <c:pt idx="0">
                  <c:v>0.37280000000000002</c:v>
                </c:pt>
                <c:pt idx="1">
                  <c:v>0.30940000000000001</c:v>
                </c:pt>
                <c:pt idx="2">
                  <c:v>0.33879999999999999</c:v>
                </c:pt>
                <c:pt idx="3">
                  <c:v>0.3609</c:v>
                </c:pt>
                <c:pt idx="4">
                  <c:v>0.38439999999999996</c:v>
                </c:pt>
                <c:pt idx="5">
                  <c:v>0.44069999999999998</c:v>
                </c:pt>
                <c:pt idx="6">
                  <c:v>0.43769999999999998</c:v>
                </c:pt>
                <c:pt idx="7">
                  <c:v>0.48949999999999999</c:v>
                </c:pt>
                <c:pt idx="8">
                  <c:v>0.496</c:v>
                </c:pt>
                <c:pt idx="9">
                  <c:v>0.52859999999999996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BB-4964-B1C3-763A090AB016}"/>
            </c:ext>
          </c:extLst>
        </c:ser>
        <c:ser>
          <c:idx val="3"/>
          <c:order val="3"/>
          <c:tx>
            <c:strRef>
              <c:f>Лист1!$L$7:$L$8</c:f>
              <c:strCache>
                <c:ptCount val="1"/>
                <c:pt idx="0">
                  <c:v> 670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Лист1!$H$9:$H$19</c:f>
              <c:strCach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strCache>
            </c:strRef>
          </c:cat>
          <c:val>
            <c:numRef>
              <c:f>Лист1!$L$9:$L$19</c:f>
              <c:numCache>
                <c:formatCode>General</c:formatCode>
                <c:ptCount val="10"/>
                <c:pt idx="0">
                  <c:v>0.39890000000000003</c:v>
                </c:pt>
                <c:pt idx="1">
                  <c:v>0.45350000000000001</c:v>
                </c:pt>
                <c:pt idx="2">
                  <c:v>0.53010000000000002</c:v>
                </c:pt>
                <c:pt idx="3">
                  <c:v>0.54430000000000001</c:v>
                </c:pt>
                <c:pt idx="4">
                  <c:v>0.55649999999999999</c:v>
                </c:pt>
                <c:pt idx="5">
                  <c:v>0.59470000000000001</c:v>
                </c:pt>
                <c:pt idx="6">
                  <c:v>0.61960000000000004</c:v>
                </c:pt>
                <c:pt idx="7">
                  <c:v>0.62019999999999997</c:v>
                </c:pt>
                <c:pt idx="8">
                  <c:v>0.63919999999999999</c:v>
                </c:pt>
                <c:pt idx="9">
                  <c:v>0.68330000000000002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BB-4964-B1C3-763A090AB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578080"/>
        <c:axId val="243561024"/>
      </c:lineChart>
      <c:catAx>
        <c:axId val="2435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3561024"/>
        <c:crosses val="autoZero"/>
        <c:auto val="1"/>
        <c:lblAlgn val="ctr"/>
        <c:lblOffset val="100"/>
        <c:noMultiLvlLbl val="0"/>
      </c:catAx>
      <c:valAx>
        <c:axId val="24356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357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624840</xdr:colOff>
      <xdr:row>21</xdr:row>
      <xdr:rowOff>0</xdr:rowOff>
    </xdr:from>
    <xdr:to>
      <xdr:col>13</xdr:col>
      <xdr:colOff>232410</xdr:colOff>
      <xdr:row>39</xdr:row>
      <xdr:rowOff>167640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5813A404-C30F-4DF6-9F14-37EB267DB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75.675122106484" createdVersion="7" refreshedVersion="7" minRefreshableVersion="3" recordCount="40" xr:uid="{696D2981-8F26-4CE1-B32C-4351A7FB76DC}">
  <cacheSource type="worksheet">
    <worksheetSource ref="A1:F41" sheet="Лист1"/>
  </cacheSource>
  <cacheFields count="6">
    <cacheField name="TextLen" numFmtId="0">
      <sharedItems containsSemiMixedTypes="0" containsString="0" containsNumber="1" containsInteger="1" minValue="10000" maxValue="100000" count="10">
        <n v="10000"/>
        <n v="20000"/>
        <n v="30000"/>
        <n v="40000"/>
        <n v="50000"/>
        <n v="60000"/>
        <n v="70000"/>
        <n v="80000"/>
        <n v="90000"/>
        <n v="100000"/>
      </sharedItems>
    </cacheField>
    <cacheField name=" PatternLen" numFmtId="49">
      <sharedItems count="4">
        <s v=" 10"/>
        <s v=" 340"/>
        <s v=" 670"/>
        <s v=" 1000"/>
      </sharedItems>
    </cacheField>
    <cacheField name=" BuildTime_ms" numFmtId="49">
      <sharedItems containsMixedTypes="1" containsNumber="1" minValue="2.12E-2" maxValue="0.80700000000000005"/>
    </cacheField>
    <cacheField name=" SearchTime_ms" numFmtId="49">
      <sharedItems containsMixedTypes="1" containsNumber="1" minValue="3.1699999999999999E-2" maxValue="0.37019999999999997"/>
    </cacheField>
    <cacheField name=" Comparisons" numFmtId="49">
      <sharedItems/>
    </cacheField>
    <cacheField name="time" numFmtId="49">
      <sharedItems containsSemiMixedTypes="0" containsString="0" containsNumber="1" minValue="5.2900000000000003E-2" maxValue="1.17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n v="2.12E-2"/>
    <n v="3.1699999999999999E-2"/>
    <s v=" 10000"/>
    <n v="5.2900000000000003E-2"/>
  </r>
  <r>
    <x v="0"/>
    <x v="1"/>
    <n v="0.33910000000000001"/>
    <n v="3.3700000000000001E-2"/>
    <s v=" 10000"/>
    <n v="0.37280000000000002"/>
  </r>
  <r>
    <x v="0"/>
    <x v="2"/>
    <s v="0,3588"/>
    <n v="4.0099999999999997E-2"/>
    <s v=" 10000"/>
    <n v="0.39890000000000003"/>
  </r>
  <r>
    <x v="0"/>
    <x v="3"/>
    <s v="0,3579"/>
    <n v="4.1000000000000002E-2"/>
    <s v=" 10000"/>
    <n v="0.39889999999999998"/>
  </r>
  <r>
    <x v="1"/>
    <x v="0"/>
    <n v="9.2799999999999994E-2"/>
    <n v="6.2E-2"/>
    <s v=" 20000"/>
    <n v="0.15479999999999999"/>
  </r>
  <r>
    <x v="1"/>
    <x v="1"/>
    <n v="0.2455"/>
    <n v="6.3899999999999998E-2"/>
    <s v=" 20000"/>
    <n v="0.30940000000000001"/>
  </r>
  <r>
    <x v="1"/>
    <x v="2"/>
    <n v="0.3851"/>
    <n v="6.8400000000000002E-2"/>
    <s v=" 20000"/>
    <n v="0.45350000000000001"/>
  </r>
  <r>
    <x v="1"/>
    <x v="3"/>
    <n v="0.47810000000000002"/>
    <n v="7.2800000000000004E-2"/>
    <s v=" 20000"/>
    <n v="0.55090000000000006"/>
  </r>
  <r>
    <x v="2"/>
    <x v="0"/>
    <n v="0.109"/>
    <n v="9.2899999999999996E-2"/>
    <s v=" 30000"/>
    <n v="0.2019"/>
  </r>
  <r>
    <x v="2"/>
    <x v="1"/>
    <n v="0.24390000000000001"/>
    <n v="9.4899999999999998E-2"/>
    <s v=" 30000"/>
    <n v="0.33879999999999999"/>
  </r>
  <r>
    <x v="2"/>
    <x v="2"/>
    <n v="0.43149999999999999"/>
    <n v="9.8599999999999993E-2"/>
    <s v=" 30000"/>
    <n v="0.53010000000000002"/>
  </r>
  <r>
    <x v="2"/>
    <x v="3"/>
    <n v="0.50109999999999999"/>
    <n v="0.1027"/>
    <s v=" 30000"/>
    <n v="0.6038"/>
  </r>
  <r>
    <x v="3"/>
    <x v="0"/>
    <n v="0.1094"/>
    <n v="0.12470000000000001"/>
    <s v=" 40000"/>
    <n v="0.2341"/>
  </r>
  <r>
    <x v="3"/>
    <x v="1"/>
    <n v="0.23530000000000001"/>
    <n v="0.12559999999999999"/>
    <s v=" 40000"/>
    <n v="0.3609"/>
  </r>
  <r>
    <x v="3"/>
    <x v="2"/>
    <s v="0,4019"/>
    <s v="0,1424"/>
    <s v=" 40000"/>
    <n v="0.54430000000000001"/>
  </r>
  <r>
    <x v="3"/>
    <x v="3"/>
    <s v="0,5131"/>
    <s v="0,1307"/>
    <s v=" 40000"/>
    <n v="0.64380000000000004"/>
  </r>
  <r>
    <x v="4"/>
    <x v="0"/>
    <n v="0.16969999999999999"/>
    <n v="0.15509999999999999"/>
    <s v=" 50000"/>
    <n v="0.32479999999999998"/>
  </r>
  <r>
    <x v="4"/>
    <x v="1"/>
    <n v="0.2271"/>
    <n v="0.1573"/>
    <s v=" 50000"/>
    <n v="0.38439999999999996"/>
  </r>
  <r>
    <x v="4"/>
    <x v="2"/>
    <s v="0,395"/>
    <n v="0.1615"/>
    <s v=" 50000"/>
    <n v="0.55649999999999999"/>
  </r>
  <r>
    <x v="4"/>
    <x v="3"/>
    <s v="0,5638"/>
    <n v="0.1666"/>
    <s v=" 50000"/>
    <n v="0.73039999999999994"/>
  </r>
  <r>
    <x v="5"/>
    <x v="0"/>
    <n v="0.17960000000000001"/>
    <n v="0.186"/>
    <s v=" 60000"/>
    <n v="0.36560000000000004"/>
  </r>
  <r>
    <x v="5"/>
    <x v="1"/>
    <n v="0.2525"/>
    <n v="0.18820000000000001"/>
    <s v=" 60000"/>
    <n v="0.44069999999999998"/>
  </r>
  <r>
    <x v="5"/>
    <x v="2"/>
    <s v="0,4023"/>
    <n v="0.19239999999999999"/>
    <s v=" 60000"/>
    <n v="0.59470000000000001"/>
  </r>
  <r>
    <x v="5"/>
    <x v="3"/>
    <s v="0,6603"/>
    <n v="0.1963"/>
    <s v=" 60000"/>
    <n v="0.85660000000000003"/>
  </r>
  <r>
    <x v="6"/>
    <x v="0"/>
    <n v="0.2112"/>
    <n v="0.217"/>
    <s v=" 70000"/>
    <n v="0.42820000000000003"/>
  </r>
  <r>
    <x v="6"/>
    <x v="1"/>
    <n v="0.2185"/>
    <n v="0.21920000000000001"/>
    <s v=" 70000"/>
    <n v="0.43769999999999998"/>
  </r>
  <r>
    <x v="6"/>
    <x v="2"/>
    <s v="0,4112"/>
    <s v="0,2084"/>
    <s v=" 70000"/>
    <n v="0.61960000000000004"/>
  </r>
  <r>
    <x v="6"/>
    <x v="3"/>
    <s v="0,644"/>
    <n v="0.29060000000000002"/>
    <s v=" 70000"/>
    <n v="0.9346000000000001"/>
  </r>
  <r>
    <x v="7"/>
    <x v="0"/>
    <s v="0,2286"/>
    <s v="0,2386"/>
    <s v=" 80000"/>
    <n v="0.4672"/>
  </r>
  <r>
    <x v="7"/>
    <x v="1"/>
    <n v="0.23780000000000001"/>
    <n v="0.25169999999999998"/>
    <s v=" 80000"/>
    <n v="0.48949999999999999"/>
  </r>
  <r>
    <x v="7"/>
    <x v="2"/>
    <n v="0.36599999999999999"/>
    <n v="0.25419999999999998"/>
    <s v=" 80000"/>
    <n v="0.62019999999999997"/>
  </r>
  <r>
    <x v="7"/>
    <x v="3"/>
    <s v="0,6444"/>
    <n v="0.26179999999999998"/>
    <s v=" 80000"/>
    <n v="0.90619999999999989"/>
  </r>
  <r>
    <x v="8"/>
    <x v="0"/>
    <s v="0,1925"/>
    <n v="0.28000000000000003"/>
    <s v=" 90000"/>
    <n v="0.47250000000000003"/>
  </r>
  <r>
    <x v="8"/>
    <x v="1"/>
    <n v="0.21579999999999999"/>
    <n v="0.2802"/>
    <s v=" 90000"/>
    <n v="0.496"/>
  </r>
  <r>
    <x v="8"/>
    <x v="2"/>
    <n v="0.35470000000000002"/>
    <n v="0.28449999999999998"/>
    <s v=" 90000"/>
    <n v="0.63919999999999999"/>
  </r>
  <r>
    <x v="8"/>
    <x v="3"/>
    <s v="0,6397"/>
    <n v="0.29870000000000002"/>
    <s v=" 90000"/>
    <n v="0.93840000000000012"/>
  </r>
  <r>
    <x v="9"/>
    <x v="0"/>
    <s v="0,1674"/>
    <n v="0.30930000000000002"/>
    <s v=" 100000"/>
    <n v="0.47670000000000001"/>
  </r>
  <r>
    <x v="9"/>
    <x v="1"/>
    <n v="0.2155"/>
    <n v="0.31309999999999999"/>
    <s v=" 100000"/>
    <n v="0.52859999999999996"/>
  </r>
  <r>
    <x v="9"/>
    <x v="2"/>
    <n v="0.36480000000000001"/>
    <n v="0.31850000000000001"/>
    <s v=" 100000"/>
    <n v="0.68330000000000002"/>
  </r>
  <r>
    <x v="9"/>
    <x v="3"/>
    <n v="0.80700000000000005"/>
    <n v="0.37019999999999997"/>
    <s v=" 100000"/>
    <n v="1.17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B59017-645E-4546-A516-F8329FA659CE}" name="Сводная таблица4" cacheId="17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">
  <location ref="H7:M19" firstHeaderRow="1" firstDataRow="2" firstDataCol="1"/>
  <pivotFields count="6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dataField="1" numFmtId="4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Сумма по полю time" fld="5" baseField="0" baseItem="0"/>
  </dataField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2D8D-6034-4CA2-A403-C9CC769EC854}">
  <dimension ref="A1:M41"/>
  <sheetViews>
    <sheetView tabSelected="1" topLeftCell="B16" zoomScale="115" zoomScaleNormal="115" workbookViewId="0">
      <selection activeCell="D25" sqref="D25"/>
    </sheetView>
  </sheetViews>
  <sheetFormatPr defaultRowHeight="13.8"/>
  <cols>
    <col min="1" max="1" width="13.8984375" customWidth="1"/>
    <col min="2" max="2" width="15.69921875" customWidth="1"/>
    <col min="3" max="3" width="12.796875" customWidth="1"/>
    <col min="4" max="4" width="15.09765625" customWidth="1"/>
    <col min="5" max="5" width="11.3984375" bestFit="1" customWidth="1"/>
    <col min="6" max="6" width="14.59765625" customWidth="1"/>
    <col min="8" max="8" width="19.5" bestFit="1" customWidth="1"/>
    <col min="9" max="9" width="20.69921875" bestFit="1" customWidth="1"/>
    <col min="10" max="12" width="6.8984375" bestFit="1" customWidth="1"/>
    <col min="13" max="13" width="11.5" bestFit="1" customWidth="1"/>
    <col min="14" max="18" width="6.8984375" bestFit="1" customWidth="1"/>
    <col min="19" max="19" width="11.5" bestFit="1" customWidth="1"/>
    <col min="20" max="22" width="6.8984375" bestFit="1" customWidth="1"/>
    <col min="23" max="23" width="10.5" bestFit="1" customWidth="1"/>
    <col min="24" max="24" width="7.59765625" bestFit="1" customWidth="1"/>
    <col min="25" max="27" width="6.8984375" bestFit="1" customWidth="1"/>
    <col min="28" max="28" width="10.5" bestFit="1" customWidth="1"/>
    <col min="29" max="29" width="7.59765625" bestFit="1" customWidth="1"/>
    <col min="30" max="32" width="6.8984375" bestFit="1" customWidth="1"/>
    <col min="33" max="33" width="10.5" bestFit="1" customWidth="1"/>
    <col min="34" max="34" width="7.59765625" bestFit="1" customWidth="1"/>
    <col min="35" max="37" width="6.8984375" bestFit="1" customWidth="1"/>
    <col min="38" max="38" width="10.5" bestFit="1" customWidth="1"/>
    <col min="39" max="39" width="7.59765625" bestFit="1" customWidth="1"/>
    <col min="40" max="42" width="6.8984375" bestFit="1" customWidth="1"/>
    <col min="43" max="43" width="10.5" bestFit="1" customWidth="1"/>
    <col min="44" max="44" width="7.59765625" bestFit="1" customWidth="1"/>
    <col min="45" max="46" width="6.8984375" bestFit="1" customWidth="1"/>
    <col min="47" max="47" width="5.8984375" bestFit="1" customWidth="1"/>
    <col min="48" max="48" width="10.5" bestFit="1" customWidth="1"/>
    <col min="49" max="49" width="7.59765625" bestFit="1" customWidth="1"/>
    <col min="50" max="52" width="6.8984375" bestFit="1" customWidth="1"/>
    <col min="53" max="53" width="10.5" bestFit="1" customWidth="1"/>
    <col min="54" max="54" width="8.59765625" bestFit="1" customWidth="1"/>
    <col min="55" max="57" width="6.8984375" bestFit="1" customWidth="1"/>
    <col min="58" max="59" width="11.5" bestFit="1" customWidth="1"/>
  </cols>
  <sheetData>
    <row r="1" spans="1:13">
      <c r="A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4</v>
      </c>
    </row>
    <row r="2" spans="1:13">
      <c r="A2">
        <v>10000</v>
      </c>
      <c r="B2" s="1" t="s">
        <v>10</v>
      </c>
      <c r="C2" s="1">
        <v>2.12E-2</v>
      </c>
      <c r="D2" s="1">
        <v>3.1699999999999999E-2</v>
      </c>
      <c r="E2" s="1" t="s">
        <v>14</v>
      </c>
      <c r="F2" s="1">
        <f>C2+D2</f>
        <v>5.2900000000000003E-2</v>
      </c>
    </row>
    <row r="3" spans="1:13">
      <c r="A3">
        <v>10000</v>
      </c>
      <c r="B3" s="1" t="s">
        <v>11</v>
      </c>
      <c r="C3" s="1">
        <v>0.33910000000000001</v>
      </c>
      <c r="D3" s="1">
        <v>3.3700000000000001E-2</v>
      </c>
      <c r="E3" s="1" t="s">
        <v>14</v>
      </c>
      <c r="F3" s="1">
        <f t="shared" ref="F3:F41" si="0">C3+D3</f>
        <v>0.37280000000000002</v>
      </c>
    </row>
    <row r="4" spans="1:13">
      <c r="A4">
        <v>10000</v>
      </c>
      <c r="B4" s="1" t="s">
        <v>12</v>
      </c>
      <c r="C4" s="1" t="s">
        <v>42</v>
      </c>
      <c r="D4" s="1">
        <v>4.0099999999999997E-2</v>
      </c>
      <c r="E4" s="1" t="s">
        <v>14</v>
      </c>
      <c r="F4" s="1">
        <f t="shared" si="0"/>
        <v>0.39890000000000003</v>
      </c>
    </row>
    <row r="5" spans="1:13">
      <c r="A5">
        <v>10000</v>
      </c>
      <c r="B5" s="1" t="s">
        <v>13</v>
      </c>
      <c r="C5" s="1" t="s">
        <v>41</v>
      </c>
      <c r="D5" s="1">
        <v>4.1000000000000002E-2</v>
      </c>
      <c r="E5" s="1" t="s">
        <v>14</v>
      </c>
      <c r="F5" s="1">
        <f t="shared" si="0"/>
        <v>0.39889999999999998</v>
      </c>
    </row>
    <row r="6" spans="1:13">
      <c r="A6">
        <v>20000</v>
      </c>
      <c r="B6" s="1" t="s">
        <v>10</v>
      </c>
      <c r="C6" s="1">
        <v>9.2799999999999994E-2</v>
      </c>
      <c r="D6" s="1">
        <v>6.2E-2</v>
      </c>
      <c r="E6" s="1" t="s">
        <v>15</v>
      </c>
      <c r="F6" s="1">
        <f t="shared" si="0"/>
        <v>0.15479999999999999</v>
      </c>
    </row>
    <row r="7" spans="1:13">
      <c r="A7">
        <v>20000</v>
      </c>
      <c r="B7" s="1" t="s">
        <v>11</v>
      </c>
      <c r="C7" s="1">
        <v>0.2455</v>
      </c>
      <c r="D7" s="1">
        <v>6.3899999999999998E-2</v>
      </c>
      <c r="E7" s="1" t="s">
        <v>15</v>
      </c>
      <c r="F7" s="1">
        <f t="shared" si="0"/>
        <v>0.30940000000000001</v>
      </c>
      <c r="H7" s="3" t="s">
        <v>5</v>
      </c>
      <c r="I7" s="3" t="s">
        <v>3</v>
      </c>
    </row>
    <row r="8" spans="1:13">
      <c r="A8">
        <v>20000</v>
      </c>
      <c r="B8" s="1" t="s">
        <v>12</v>
      </c>
      <c r="C8" s="1">
        <v>0.3851</v>
      </c>
      <c r="D8" s="1">
        <v>6.8400000000000002E-2</v>
      </c>
      <c r="E8" s="1" t="s">
        <v>15</v>
      </c>
      <c r="F8" s="1">
        <f t="shared" si="0"/>
        <v>0.45350000000000001</v>
      </c>
      <c r="H8" s="3" t="s">
        <v>1</v>
      </c>
      <c r="I8" t="s">
        <v>10</v>
      </c>
      <c r="J8" t="s">
        <v>13</v>
      </c>
      <c r="K8" t="s">
        <v>11</v>
      </c>
      <c r="L8" t="s">
        <v>12</v>
      </c>
      <c r="M8" t="s">
        <v>2</v>
      </c>
    </row>
    <row r="9" spans="1:13">
      <c r="A9">
        <v>20000</v>
      </c>
      <c r="B9" s="1" t="s">
        <v>13</v>
      </c>
      <c r="C9" s="1">
        <v>0.47810000000000002</v>
      </c>
      <c r="D9" s="1">
        <v>7.2800000000000004E-2</v>
      </c>
      <c r="E9" s="1" t="s">
        <v>15</v>
      </c>
      <c r="F9" s="1">
        <f t="shared" si="0"/>
        <v>0.55090000000000006</v>
      </c>
      <c r="H9" s="4">
        <v>10000</v>
      </c>
      <c r="I9" s="2">
        <v>5.2900000000000003E-2</v>
      </c>
      <c r="J9" s="2">
        <v>0.39889999999999998</v>
      </c>
      <c r="K9" s="2">
        <v>0.37280000000000002</v>
      </c>
      <c r="L9" s="2">
        <v>0.39890000000000003</v>
      </c>
      <c r="M9" s="2">
        <v>1.2235</v>
      </c>
    </row>
    <row r="10" spans="1:13">
      <c r="A10">
        <v>30000</v>
      </c>
      <c r="B10" s="1" t="s">
        <v>10</v>
      </c>
      <c r="C10" s="1">
        <v>0.109</v>
      </c>
      <c r="D10" s="1">
        <v>9.2899999999999996E-2</v>
      </c>
      <c r="E10" s="1" t="s">
        <v>16</v>
      </c>
      <c r="F10" s="1">
        <f t="shared" si="0"/>
        <v>0.2019</v>
      </c>
      <c r="H10" s="4">
        <v>20000</v>
      </c>
      <c r="I10" s="2">
        <v>0.15479999999999999</v>
      </c>
      <c r="J10" s="2">
        <v>0.55090000000000006</v>
      </c>
      <c r="K10" s="2">
        <v>0.30940000000000001</v>
      </c>
      <c r="L10" s="2">
        <v>0.45350000000000001</v>
      </c>
      <c r="M10" s="2">
        <v>1.4685999999999999</v>
      </c>
    </row>
    <row r="11" spans="1:13">
      <c r="A11">
        <v>30000</v>
      </c>
      <c r="B11" s="1" t="s">
        <v>11</v>
      </c>
      <c r="C11" s="1">
        <v>0.24390000000000001</v>
      </c>
      <c r="D11" s="1">
        <v>9.4899999999999998E-2</v>
      </c>
      <c r="E11" s="1" t="s">
        <v>16</v>
      </c>
      <c r="F11" s="1">
        <f t="shared" si="0"/>
        <v>0.33879999999999999</v>
      </c>
      <c r="H11" s="4">
        <v>30000</v>
      </c>
      <c r="I11" s="2">
        <v>0.2019</v>
      </c>
      <c r="J11" s="2">
        <v>0.6038</v>
      </c>
      <c r="K11" s="2">
        <v>0.33879999999999999</v>
      </c>
      <c r="L11" s="2">
        <v>0.53010000000000002</v>
      </c>
      <c r="M11" s="2">
        <v>1.6745999999999999</v>
      </c>
    </row>
    <row r="12" spans="1:13">
      <c r="A12">
        <v>30000</v>
      </c>
      <c r="B12" s="1" t="s">
        <v>12</v>
      </c>
      <c r="C12" s="1">
        <v>0.43149999999999999</v>
      </c>
      <c r="D12" s="1">
        <v>9.8599999999999993E-2</v>
      </c>
      <c r="E12" s="1" t="s">
        <v>16</v>
      </c>
      <c r="F12" s="1">
        <f t="shared" si="0"/>
        <v>0.53010000000000002</v>
      </c>
      <c r="H12" s="4">
        <v>40000</v>
      </c>
      <c r="I12" s="2">
        <v>0.2341</v>
      </c>
      <c r="J12" s="2">
        <v>0.64380000000000004</v>
      </c>
      <c r="K12" s="2">
        <v>0.3609</v>
      </c>
      <c r="L12" s="2">
        <v>0.54430000000000001</v>
      </c>
      <c r="M12" s="2">
        <v>1.7830999999999999</v>
      </c>
    </row>
    <row r="13" spans="1:13">
      <c r="A13">
        <v>30000</v>
      </c>
      <c r="B13" s="1" t="s">
        <v>13</v>
      </c>
      <c r="C13" s="1">
        <v>0.50109999999999999</v>
      </c>
      <c r="D13" s="1">
        <v>0.1027</v>
      </c>
      <c r="E13" s="1" t="s">
        <v>16</v>
      </c>
      <c r="F13" s="1">
        <f t="shared" si="0"/>
        <v>0.6038</v>
      </c>
      <c r="H13" s="4">
        <v>50000</v>
      </c>
      <c r="I13" s="2">
        <v>0.32479999999999998</v>
      </c>
      <c r="J13" s="2">
        <v>0.73039999999999994</v>
      </c>
      <c r="K13" s="2">
        <v>0.38439999999999996</v>
      </c>
      <c r="L13" s="2">
        <v>0.55649999999999999</v>
      </c>
      <c r="M13" s="2">
        <v>1.9961</v>
      </c>
    </row>
    <row r="14" spans="1:13">
      <c r="A14">
        <v>40000</v>
      </c>
      <c r="B14" s="1" t="s">
        <v>10</v>
      </c>
      <c r="C14" s="1">
        <v>0.1094</v>
      </c>
      <c r="D14" s="1">
        <v>0.12470000000000001</v>
      </c>
      <c r="E14" s="1" t="s">
        <v>17</v>
      </c>
      <c r="F14" s="1">
        <f t="shared" si="0"/>
        <v>0.2341</v>
      </c>
      <c r="H14" s="4">
        <v>60000</v>
      </c>
      <c r="I14" s="2">
        <v>0.36560000000000004</v>
      </c>
      <c r="J14" s="2">
        <v>0.85660000000000003</v>
      </c>
      <c r="K14" s="2">
        <v>0.44069999999999998</v>
      </c>
      <c r="L14" s="2">
        <v>0.59470000000000001</v>
      </c>
      <c r="M14" s="2">
        <v>2.2576000000000001</v>
      </c>
    </row>
    <row r="15" spans="1:13">
      <c r="A15">
        <v>40000</v>
      </c>
      <c r="B15" s="1" t="s">
        <v>11</v>
      </c>
      <c r="C15" s="1">
        <v>0.23530000000000001</v>
      </c>
      <c r="D15" s="1">
        <v>0.12559999999999999</v>
      </c>
      <c r="E15" s="1" t="s">
        <v>17</v>
      </c>
      <c r="F15" s="1">
        <f t="shared" si="0"/>
        <v>0.3609</v>
      </c>
      <c r="H15" s="4">
        <v>70000</v>
      </c>
      <c r="I15" s="2">
        <v>0.42820000000000003</v>
      </c>
      <c r="J15" s="2">
        <v>0.9346000000000001</v>
      </c>
      <c r="K15" s="2">
        <v>0.43769999999999998</v>
      </c>
      <c r="L15" s="2">
        <v>0.61960000000000004</v>
      </c>
      <c r="M15" s="2">
        <v>2.4201000000000001</v>
      </c>
    </row>
    <row r="16" spans="1:13">
      <c r="A16">
        <v>40000</v>
      </c>
      <c r="B16" s="1" t="s">
        <v>12</v>
      </c>
      <c r="C16" s="1" t="s">
        <v>24</v>
      </c>
      <c r="D16" s="1" t="s">
        <v>25</v>
      </c>
      <c r="E16" s="1" t="s">
        <v>17</v>
      </c>
      <c r="F16" s="1">
        <f t="shared" si="0"/>
        <v>0.54430000000000001</v>
      </c>
      <c r="H16" s="4">
        <v>80000</v>
      </c>
      <c r="I16" s="2">
        <v>0.4672</v>
      </c>
      <c r="J16" s="2">
        <v>0.90619999999999989</v>
      </c>
      <c r="K16" s="2">
        <v>0.48949999999999999</v>
      </c>
      <c r="L16" s="2">
        <v>0.62019999999999997</v>
      </c>
      <c r="M16" s="2">
        <v>2.4830999999999999</v>
      </c>
    </row>
    <row r="17" spans="1:13">
      <c r="A17">
        <v>40000</v>
      </c>
      <c r="B17" s="1" t="s">
        <v>13</v>
      </c>
      <c r="C17" s="1" t="s">
        <v>32</v>
      </c>
      <c r="D17" s="1" t="s">
        <v>33</v>
      </c>
      <c r="E17" s="1" t="s">
        <v>17</v>
      </c>
      <c r="F17" s="1">
        <f t="shared" si="0"/>
        <v>0.64380000000000004</v>
      </c>
      <c r="H17" s="4">
        <v>90000</v>
      </c>
      <c r="I17" s="2">
        <v>0.47250000000000003</v>
      </c>
      <c r="J17" s="2">
        <v>0.93840000000000012</v>
      </c>
      <c r="K17" s="2">
        <v>0.496</v>
      </c>
      <c r="L17" s="2">
        <v>0.63919999999999999</v>
      </c>
      <c r="M17" s="2">
        <v>2.5461</v>
      </c>
    </row>
    <row r="18" spans="1:13">
      <c r="A18">
        <v>50000</v>
      </c>
      <c r="B18" s="1" t="s">
        <v>10</v>
      </c>
      <c r="C18" s="1">
        <v>0.16969999999999999</v>
      </c>
      <c r="D18" s="1">
        <v>0.15509999999999999</v>
      </c>
      <c r="E18" s="1" t="s">
        <v>18</v>
      </c>
      <c r="F18" s="1">
        <f t="shared" si="0"/>
        <v>0.32479999999999998</v>
      </c>
      <c r="H18" s="4">
        <v>100000</v>
      </c>
      <c r="I18" s="2">
        <v>0.47670000000000001</v>
      </c>
      <c r="J18" s="2">
        <v>1.1772</v>
      </c>
      <c r="K18" s="2">
        <v>0.52859999999999996</v>
      </c>
      <c r="L18" s="2">
        <v>0.68330000000000002</v>
      </c>
      <c r="M18" s="2">
        <v>2.8658000000000001</v>
      </c>
    </row>
    <row r="19" spans="1:13">
      <c r="A19">
        <v>50000</v>
      </c>
      <c r="B19" s="1" t="s">
        <v>11</v>
      </c>
      <c r="C19" s="1">
        <v>0.2271</v>
      </c>
      <c r="D19" s="1">
        <v>0.1573</v>
      </c>
      <c r="E19" s="1" t="s">
        <v>18</v>
      </c>
      <c r="F19" s="1">
        <f t="shared" si="0"/>
        <v>0.38439999999999996</v>
      </c>
      <c r="H19" s="4" t="s">
        <v>2</v>
      </c>
      <c r="I19" s="2">
        <v>3.1787000000000001</v>
      </c>
      <c r="J19" s="2">
        <v>7.7407999999999992</v>
      </c>
      <c r="K19" s="2">
        <v>4.1587999999999994</v>
      </c>
      <c r="L19" s="2">
        <v>5.6402999999999999</v>
      </c>
      <c r="M19" s="2">
        <v>20.718599999999999</v>
      </c>
    </row>
    <row r="20" spans="1:13">
      <c r="A20">
        <v>50000</v>
      </c>
      <c r="B20" s="1" t="s">
        <v>12</v>
      </c>
      <c r="C20" s="1" t="s">
        <v>26</v>
      </c>
      <c r="D20" s="1">
        <v>0.1615</v>
      </c>
      <c r="E20" s="1" t="s">
        <v>18</v>
      </c>
      <c r="F20" s="1">
        <f t="shared" si="0"/>
        <v>0.55649999999999999</v>
      </c>
    </row>
    <row r="21" spans="1:13">
      <c r="A21">
        <v>50000</v>
      </c>
      <c r="B21" s="1" t="s">
        <v>13</v>
      </c>
      <c r="C21" s="1" t="s">
        <v>34</v>
      </c>
      <c r="D21" s="1">
        <v>0.1666</v>
      </c>
      <c r="E21" s="1" t="s">
        <v>18</v>
      </c>
      <c r="F21" s="1">
        <f t="shared" si="0"/>
        <v>0.73039999999999994</v>
      </c>
    </row>
    <row r="22" spans="1:13">
      <c r="A22">
        <v>60000</v>
      </c>
      <c r="B22" s="1" t="s">
        <v>10</v>
      </c>
      <c r="C22" s="1">
        <v>0.17960000000000001</v>
      </c>
      <c r="D22" s="1">
        <v>0.186</v>
      </c>
      <c r="E22" s="1" t="s">
        <v>19</v>
      </c>
      <c r="F22" s="1">
        <f t="shared" si="0"/>
        <v>0.36560000000000004</v>
      </c>
    </row>
    <row r="23" spans="1:13">
      <c r="A23">
        <v>60000</v>
      </c>
      <c r="B23" s="1" t="s">
        <v>11</v>
      </c>
      <c r="C23" s="1">
        <v>0.2525</v>
      </c>
      <c r="D23" s="1">
        <v>0.18820000000000001</v>
      </c>
      <c r="E23" s="1" t="s">
        <v>19</v>
      </c>
      <c r="F23" s="1">
        <f t="shared" si="0"/>
        <v>0.44069999999999998</v>
      </c>
    </row>
    <row r="24" spans="1:13">
      <c r="A24">
        <v>60000</v>
      </c>
      <c r="B24" s="1" t="s">
        <v>12</v>
      </c>
      <c r="C24" s="1" t="s">
        <v>27</v>
      </c>
      <c r="D24" s="1">
        <v>0.19239999999999999</v>
      </c>
      <c r="E24" s="1" t="s">
        <v>19</v>
      </c>
      <c r="F24" s="1">
        <f t="shared" si="0"/>
        <v>0.59470000000000001</v>
      </c>
    </row>
    <row r="25" spans="1:13">
      <c r="A25">
        <v>60000</v>
      </c>
      <c r="B25" s="1" t="s">
        <v>13</v>
      </c>
      <c r="C25" s="1" t="s">
        <v>35</v>
      </c>
      <c r="D25" s="1">
        <v>0.1963</v>
      </c>
      <c r="E25" s="1" t="s">
        <v>19</v>
      </c>
      <c r="F25" s="1">
        <f t="shared" si="0"/>
        <v>0.85660000000000003</v>
      </c>
    </row>
    <row r="26" spans="1:13">
      <c r="A26">
        <v>70000</v>
      </c>
      <c r="B26" s="1" t="s">
        <v>10</v>
      </c>
      <c r="C26" s="1">
        <v>0.2112</v>
      </c>
      <c r="D26" s="1">
        <v>0.217</v>
      </c>
      <c r="E26" s="1" t="s">
        <v>20</v>
      </c>
      <c r="F26" s="1">
        <f t="shared" si="0"/>
        <v>0.42820000000000003</v>
      </c>
    </row>
    <row r="27" spans="1:13">
      <c r="A27">
        <v>70000</v>
      </c>
      <c r="B27" s="1" t="s">
        <v>11</v>
      </c>
      <c r="C27" s="1">
        <v>0.2185</v>
      </c>
      <c r="D27" s="1">
        <v>0.21920000000000001</v>
      </c>
      <c r="E27" s="1" t="s">
        <v>20</v>
      </c>
      <c r="F27" s="1">
        <f t="shared" si="0"/>
        <v>0.43769999999999998</v>
      </c>
    </row>
    <row r="28" spans="1:13">
      <c r="A28">
        <v>70000</v>
      </c>
      <c r="B28" s="1" t="s">
        <v>12</v>
      </c>
      <c r="C28" s="1" t="s">
        <v>39</v>
      </c>
      <c r="D28" s="1" t="s">
        <v>40</v>
      </c>
      <c r="E28" s="1" t="s">
        <v>20</v>
      </c>
      <c r="F28" s="1">
        <f t="shared" si="0"/>
        <v>0.61960000000000004</v>
      </c>
    </row>
    <row r="29" spans="1:13">
      <c r="A29">
        <v>70000</v>
      </c>
      <c r="B29" s="1" t="s">
        <v>13</v>
      </c>
      <c r="C29" s="1" t="s">
        <v>36</v>
      </c>
      <c r="D29" s="1">
        <v>0.29060000000000002</v>
      </c>
      <c r="E29" s="1" t="s">
        <v>20</v>
      </c>
      <c r="F29" s="1">
        <f t="shared" si="0"/>
        <v>0.9346000000000001</v>
      </c>
    </row>
    <row r="30" spans="1:13">
      <c r="A30">
        <v>80000</v>
      </c>
      <c r="B30" s="1" t="s">
        <v>10</v>
      </c>
      <c r="C30" s="1" t="s">
        <v>28</v>
      </c>
      <c r="D30" s="1" t="s">
        <v>31</v>
      </c>
      <c r="E30" s="1" t="s">
        <v>21</v>
      </c>
      <c r="F30" s="1">
        <f t="shared" si="0"/>
        <v>0.4672</v>
      </c>
    </row>
    <row r="31" spans="1:13">
      <c r="A31">
        <v>80000</v>
      </c>
      <c r="B31" s="1" t="s">
        <v>11</v>
      </c>
      <c r="C31" s="1">
        <v>0.23780000000000001</v>
      </c>
      <c r="D31" s="1">
        <v>0.25169999999999998</v>
      </c>
      <c r="E31" s="1" t="s">
        <v>21</v>
      </c>
      <c r="F31" s="1">
        <f t="shared" si="0"/>
        <v>0.48949999999999999</v>
      </c>
    </row>
    <row r="32" spans="1:13">
      <c r="A32">
        <v>80000</v>
      </c>
      <c r="B32" s="1" t="s">
        <v>12</v>
      </c>
      <c r="C32" s="1">
        <v>0.36599999999999999</v>
      </c>
      <c r="D32" s="1">
        <v>0.25419999999999998</v>
      </c>
      <c r="E32" s="1" t="s">
        <v>21</v>
      </c>
      <c r="F32" s="1">
        <f t="shared" si="0"/>
        <v>0.62019999999999997</v>
      </c>
    </row>
    <row r="33" spans="1:6">
      <c r="A33">
        <v>80000</v>
      </c>
      <c r="B33" s="1" t="s">
        <v>13</v>
      </c>
      <c r="C33" s="1" t="s">
        <v>38</v>
      </c>
      <c r="D33" s="1">
        <v>0.26179999999999998</v>
      </c>
      <c r="E33" s="1" t="s">
        <v>21</v>
      </c>
      <c r="F33" s="1">
        <f t="shared" si="0"/>
        <v>0.90619999999999989</v>
      </c>
    </row>
    <row r="34" spans="1:6">
      <c r="A34">
        <v>90000</v>
      </c>
      <c r="B34" s="1" t="s">
        <v>10</v>
      </c>
      <c r="C34" s="1" t="s">
        <v>30</v>
      </c>
      <c r="D34" s="1">
        <v>0.28000000000000003</v>
      </c>
      <c r="E34" s="1" t="s">
        <v>22</v>
      </c>
      <c r="F34" s="1">
        <f t="shared" si="0"/>
        <v>0.47250000000000003</v>
      </c>
    </row>
    <row r="35" spans="1:6">
      <c r="A35">
        <v>90000</v>
      </c>
      <c r="B35" s="1" t="s">
        <v>11</v>
      </c>
      <c r="C35" s="1">
        <v>0.21579999999999999</v>
      </c>
      <c r="D35" s="1">
        <v>0.2802</v>
      </c>
      <c r="E35" s="1" t="s">
        <v>22</v>
      </c>
      <c r="F35" s="1">
        <f t="shared" si="0"/>
        <v>0.496</v>
      </c>
    </row>
    <row r="36" spans="1:6">
      <c r="A36">
        <v>90000</v>
      </c>
      <c r="B36" s="1" t="s">
        <v>12</v>
      </c>
      <c r="C36" s="1">
        <v>0.35470000000000002</v>
      </c>
      <c r="D36" s="1">
        <v>0.28449999999999998</v>
      </c>
      <c r="E36" s="1" t="s">
        <v>22</v>
      </c>
      <c r="F36" s="1">
        <f t="shared" si="0"/>
        <v>0.63919999999999999</v>
      </c>
    </row>
    <row r="37" spans="1:6">
      <c r="A37">
        <v>90000</v>
      </c>
      <c r="B37" s="1" t="s">
        <v>13</v>
      </c>
      <c r="C37" s="1" t="s">
        <v>37</v>
      </c>
      <c r="D37" s="1">
        <v>0.29870000000000002</v>
      </c>
      <c r="E37" s="1" t="s">
        <v>22</v>
      </c>
      <c r="F37" s="1">
        <f t="shared" si="0"/>
        <v>0.93840000000000012</v>
      </c>
    </row>
    <row r="38" spans="1:6">
      <c r="A38">
        <v>100000</v>
      </c>
      <c r="B38" s="1" t="s">
        <v>10</v>
      </c>
      <c r="C38" s="1" t="s">
        <v>29</v>
      </c>
      <c r="D38" s="1">
        <v>0.30930000000000002</v>
      </c>
      <c r="E38" s="1" t="s">
        <v>23</v>
      </c>
      <c r="F38" s="1">
        <f t="shared" si="0"/>
        <v>0.47670000000000001</v>
      </c>
    </row>
    <row r="39" spans="1:6">
      <c r="A39">
        <v>100000</v>
      </c>
      <c r="B39" s="1" t="s">
        <v>11</v>
      </c>
      <c r="C39" s="1">
        <v>0.2155</v>
      </c>
      <c r="D39" s="1">
        <v>0.31309999999999999</v>
      </c>
      <c r="E39" s="1" t="s">
        <v>23</v>
      </c>
      <c r="F39" s="1">
        <f t="shared" si="0"/>
        <v>0.52859999999999996</v>
      </c>
    </row>
    <row r="40" spans="1:6">
      <c r="A40">
        <v>100000</v>
      </c>
      <c r="B40" s="1" t="s">
        <v>12</v>
      </c>
      <c r="C40" s="1">
        <v>0.36480000000000001</v>
      </c>
      <c r="D40" s="1">
        <v>0.31850000000000001</v>
      </c>
      <c r="E40" s="1" t="s">
        <v>23</v>
      </c>
      <c r="F40" s="1">
        <f t="shared" si="0"/>
        <v>0.68330000000000002</v>
      </c>
    </row>
    <row r="41" spans="1:6">
      <c r="A41">
        <v>100000</v>
      </c>
      <c r="B41" s="1" t="s">
        <v>13</v>
      </c>
      <c r="C41" s="1">
        <v>0.80700000000000005</v>
      </c>
      <c r="D41" s="1">
        <v>0.37019999999999997</v>
      </c>
      <c r="E41" s="1" t="s">
        <v>23</v>
      </c>
      <c r="F41" s="1">
        <f t="shared" si="0"/>
        <v>1.1772</v>
      </c>
    </row>
  </sheetData>
  <autoFilter ref="A1:F41" xr:uid="{42A32D8D-6034-4CA2-A403-C9CC769EC854}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Белый Роман Русланович</dc:creator>
  <cp:lastModifiedBy>Белый Роман Русланович</cp:lastModifiedBy>
  <dcterms:created xsi:type="dcterms:W3CDTF">2026-05-25T15:49:10Z</dcterms:created>
  <dcterms:modified xsi:type="dcterms:W3CDTF">2026-06-02T13:21:56Z</dcterms:modified>
</cp:coreProperties>
</file>