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CS292\"/>
    </mc:Choice>
  </mc:AlternateContent>
  <xr:revisionPtr revIDLastSave="0" documentId="14_{FFCE53AA-2F41-491B-AB9D-E816E401E3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Безработица Р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8" i="1" l="1"/>
  <c r="E4" i="1"/>
  <c r="C15" i="1"/>
  <c r="B15" i="1"/>
  <c r="E5" i="1"/>
  <c r="E15" i="1" s="1"/>
  <c r="E6" i="1"/>
  <c r="E7" i="1"/>
  <c r="E8" i="1"/>
  <c r="E9" i="1"/>
  <c r="E10" i="1"/>
  <c r="E11" i="1"/>
  <c r="E12" i="1"/>
  <c r="E13" i="1"/>
  <c r="E14" i="1"/>
  <c r="D5" i="1"/>
  <c r="D6" i="1"/>
  <c r="D7" i="1"/>
  <c r="D8" i="1"/>
  <c r="D9" i="1"/>
  <c r="D10" i="1"/>
  <c r="D11" i="1"/>
  <c r="D12" i="1"/>
  <c r="D13" i="1"/>
  <c r="D14" i="1"/>
  <c r="D4" i="1"/>
  <c r="D15" i="1" l="1"/>
  <c r="B18" i="1" l="1"/>
  <c r="F11" i="1" s="1"/>
  <c r="G11" i="1" s="1"/>
  <c r="F7" i="1" l="1"/>
  <c r="G7" i="1" s="1"/>
  <c r="F8" i="1"/>
  <c r="G8" i="1" s="1"/>
  <c r="F9" i="1"/>
  <c r="G9" i="1" s="1"/>
  <c r="F6" i="1"/>
  <c r="G6" i="1" s="1"/>
  <c r="F14" i="1"/>
  <c r="G14" i="1" s="1"/>
  <c r="F12" i="1"/>
  <c r="G12" i="1" s="1"/>
  <c r="F10" i="1"/>
  <c r="G10" i="1" s="1"/>
  <c r="F5" i="1"/>
  <c r="G5" i="1" s="1"/>
  <c r="F13" i="1"/>
  <c r="G13" i="1" s="1"/>
  <c r="F4" i="1"/>
  <c r="G4" i="1" s="1"/>
  <c r="G15" i="1" l="1"/>
</calcChain>
</file>

<file path=xl/sharedStrings.xml><?xml version="1.0" encoding="utf-8"?>
<sst xmlns="http://schemas.openxmlformats.org/spreadsheetml/2006/main" count="12" uniqueCount="12">
  <si>
    <t>Год</t>
  </si>
  <si>
    <t>X</t>
  </si>
  <si>
    <t>X^2</t>
  </si>
  <si>
    <t>Безработица (%), Y</t>
  </si>
  <si>
    <t>X*Y</t>
  </si>
  <si>
    <t>A*x+B</t>
  </si>
  <si>
    <t>A</t>
  </si>
  <si>
    <t>B</t>
  </si>
  <si>
    <t>Δ</t>
  </si>
  <si>
    <t>Размер датасета</t>
  </si>
  <si>
    <t xml:space="preserve">Уровень безработицы (%) в России c 15 до 72 лет </t>
  </si>
  <si>
    <t>https://rosstat.gov.ru/storage/mediabank/trud_1_15-72.xlsx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</si>
</sst>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65" fontId="0" fillId="0" borderId="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946669268957277E-2"/>
          <c:y val="2.5584494245911568E-2"/>
          <c:w val="0.91305326279329679"/>
          <c:h val="0.82647694871634991"/>
        </c:manualLayout>
      </c:layout>
      <c:lineChart>
        <c:grouping val="standard"/>
        <c:varyColors val="0"/>
        <c:ser>
          <c:idx val="0"/>
          <c:order val="0"/>
          <c:tx>
            <c:v>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'Безработица РФ'!$A$4:$A$14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'Безработица РФ'!$C$4:$C$14</c:f>
              <c:numCache>
                <c:formatCode>0.0</c:formatCode>
                <c:ptCount val="11"/>
                <c:pt idx="0">
                  <c:v>5.6</c:v>
                </c:pt>
                <c:pt idx="1">
                  <c:v>5.5</c:v>
                </c:pt>
                <c:pt idx="2">
                  <c:v>5.2</c:v>
                </c:pt>
                <c:pt idx="3">
                  <c:v>4.8</c:v>
                </c:pt>
                <c:pt idx="4">
                  <c:v>4.5999999999999996</c:v>
                </c:pt>
                <c:pt idx="5">
                  <c:v>5.8</c:v>
                </c:pt>
                <c:pt idx="6">
                  <c:v>4.8</c:v>
                </c:pt>
                <c:pt idx="7">
                  <c:v>3.9</c:v>
                </c:pt>
                <c:pt idx="8">
                  <c:v>3.2</c:v>
                </c:pt>
                <c:pt idx="9">
                  <c:v>2.9</c:v>
                </c:pt>
                <c:pt idx="10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8C-46B4-A8A5-97E8FCBD8F97}"/>
            </c:ext>
          </c:extLst>
        </c:ser>
        <c:ser>
          <c:idx val="1"/>
          <c:order val="1"/>
          <c:tx>
            <c:v>y=Ax+B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'Безработица РФ'!$F$4:$F$14</c:f>
              <c:numCache>
                <c:formatCode>0.00000000</c:formatCode>
                <c:ptCount val="11"/>
                <c:pt idx="0">
                  <c:v>5.9590909090909099</c:v>
                </c:pt>
                <c:pt idx="1">
                  <c:v>5.6545454545454552</c:v>
                </c:pt>
                <c:pt idx="2">
                  <c:v>5.3500000000000005</c:v>
                </c:pt>
                <c:pt idx="3">
                  <c:v>5.0454545454545467</c:v>
                </c:pt>
                <c:pt idx="4">
                  <c:v>4.7409090909090921</c:v>
                </c:pt>
                <c:pt idx="5">
                  <c:v>4.4363636363636374</c:v>
                </c:pt>
                <c:pt idx="6">
                  <c:v>4.1318181818181827</c:v>
                </c:pt>
                <c:pt idx="7">
                  <c:v>3.827272727272728</c:v>
                </c:pt>
                <c:pt idx="8">
                  <c:v>3.5227272727272734</c:v>
                </c:pt>
                <c:pt idx="9">
                  <c:v>3.2181818181818187</c:v>
                </c:pt>
                <c:pt idx="10">
                  <c:v>2.9136363636363645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8C-46B4-A8A5-97E8FCBD8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322063"/>
        <c:axId val="436322479"/>
      </c:lineChart>
      <c:catAx>
        <c:axId val="436322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6322479"/>
        <c:crosses val="autoZero"/>
        <c:auto val="1"/>
        <c:lblAlgn val="ctr"/>
        <c:lblOffset val="100"/>
        <c:noMultiLvlLbl val="0"/>
      </c:catAx>
      <c:valAx>
        <c:axId val="4363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0" i="0" baseline="0">
                    <a:effectLst/>
                  </a:rPr>
                  <a:t>Уровень безработицы (%)</a:t>
                </a:r>
                <a:endParaRPr lang="ru-RU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632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16</xdr:row>
      <xdr:rowOff>19050</xdr:rowOff>
    </xdr:from>
    <xdr:to>
      <xdr:col>7</xdr:col>
      <xdr:colOff>514351</xdr:colOff>
      <xdr:row>31</xdr:row>
      <xdr:rowOff>85726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180E892-914E-4F54-8B32-38973E129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I14" sqref="I14"/>
    </sheetView>
  </sheetViews>
  <sheetFormatPr defaultRowHeight="15" x14ac:dyDescent="0.25"/>
  <cols>
    <col min="1" max="1" width="17.85546875" customWidth="1"/>
    <col min="2" max="2" width="11.7109375" customWidth="1"/>
    <col min="3" max="3" width="17.7109375" customWidth="1"/>
    <col min="4" max="4" width="12.28515625" customWidth="1"/>
    <col min="5" max="5" width="14.28515625" customWidth="1"/>
    <col min="6" max="6" width="17.85546875" customWidth="1"/>
    <col min="7" max="7" width="15.28515625" customWidth="1"/>
    <col min="9" max="9" width="10.7109375" customWidth="1"/>
  </cols>
  <sheetData>
    <row r="1" spans="1:7" ht="18.75" x14ac:dyDescent="0.3">
      <c r="A1" s="10" t="s">
        <v>10</v>
      </c>
    </row>
    <row r="2" spans="1:7" x14ac:dyDescent="0.25">
      <c r="A2" s="11" t="s">
        <v>11</v>
      </c>
    </row>
    <row r="3" spans="1:7" x14ac:dyDescent="0.25">
      <c r="A3" s="3" t="s">
        <v>0</v>
      </c>
      <c r="B3" s="3" t="s">
        <v>1</v>
      </c>
      <c r="C3" s="3" t="s">
        <v>3</v>
      </c>
      <c r="D3" s="3" t="s">
        <v>2</v>
      </c>
      <c r="E3" s="3" t="s">
        <v>4</v>
      </c>
      <c r="F3" s="3" t="s">
        <v>5</v>
      </c>
      <c r="G3" s="3" t="s">
        <v>8</v>
      </c>
    </row>
    <row r="4" spans="1:7" x14ac:dyDescent="0.25">
      <c r="A4" s="1">
        <v>2015</v>
      </c>
      <c r="B4" s="2">
        <v>1</v>
      </c>
      <c r="C4" s="6">
        <v>5.6</v>
      </c>
      <c r="D4" s="2">
        <f>B4*B4</f>
        <v>1</v>
      </c>
      <c r="E4" s="9">
        <f>B4*C4</f>
        <v>5.6</v>
      </c>
      <c r="F4" s="7">
        <f t="shared" ref="F4:F14" si="0">$A$18*B4 + $B$18</f>
        <v>5.9590909090909099</v>
      </c>
      <c r="G4" s="7">
        <f>(C4-F4)^2</f>
        <v>0.12894628099173636</v>
      </c>
    </row>
    <row r="5" spans="1:7" x14ac:dyDescent="0.25">
      <c r="A5" s="1">
        <v>2016</v>
      </c>
      <c r="B5" s="2">
        <v>2</v>
      </c>
      <c r="C5" s="6">
        <v>5.5</v>
      </c>
      <c r="D5" s="2">
        <f t="shared" ref="D5:D14" si="1">B5*B5</f>
        <v>4</v>
      </c>
      <c r="E5" s="9">
        <f t="shared" ref="E5:E14" si="2">B5*C5</f>
        <v>11</v>
      </c>
      <c r="F5" s="7">
        <f t="shared" si="0"/>
        <v>5.6545454545454552</v>
      </c>
      <c r="G5" s="7">
        <f t="shared" ref="G5:G14" si="3">(C5-F5)^2</f>
        <v>2.388429752066136E-2</v>
      </c>
    </row>
    <row r="6" spans="1:7" x14ac:dyDescent="0.25">
      <c r="A6" s="1">
        <v>2017</v>
      </c>
      <c r="B6" s="2">
        <v>3</v>
      </c>
      <c r="C6" s="6">
        <v>5.2</v>
      </c>
      <c r="D6" s="2">
        <f t="shared" si="1"/>
        <v>9</v>
      </c>
      <c r="E6" s="9">
        <f t="shared" si="2"/>
        <v>15.600000000000001</v>
      </c>
      <c r="F6" s="7">
        <f t="shared" si="0"/>
        <v>5.3500000000000005</v>
      </c>
      <c r="G6" s="7">
        <f t="shared" si="3"/>
        <v>2.2500000000000107E-2</v>
      </c>
    </row>
    <row r="7" spans="1:7" x14ac:dyDescent="0.25">
      <c r="A7" s="1">
        <v>2018</v>
      </c>
      <c r="B7" s="2">
        <v>4</v>
      </c>
      <c r="C7" s="6">
        <v>4.8</v>
      </c>
      <c r="D7" s="2">
        <f t="shared" si="1"/>
        <v>16</v>
      </c>
      <c r="E7" s="9">
        <f t="shared" si="2"/>
        <v>19.2</v>
      </c>
      <c r="F7" s="7">
        <f t="shared" si="0"/>
        <v>5.0454545454545467</v>
      </c>
      <c r="G7" s="7">
        <f t="shared" si="3"/>
        <v>6.0247933884298242E-2</v>
      </c>
    </row>
    <row r="8" spans="1:7" x14ac:dyDescent="0.25">
      <c r="A8" s="1">
        <v>2019</v>
      </c>
      <c r="B8" s="2">
        <v>5</v>
      </c>
      <c r="C8" s="6">
        <v>4.5999999999999996</v>
      </c>
      <c r="D8" s="2">
        <f t="shared" si="1"/>
        <v>25</v>
      </c>
      <c r="E8" s="9">
        <f t="shared" si="2"/>
        <v>23</v>
      </c>
      <c r="F8" s="7">
        <f t="shared" si="0"/>
        <v>4.7409090909090921</v>
      </c>
      <c r="G8" s="7">
        <f t="shared" si="3"/>
        <v>1.9855371900826875E-2</v>
      </c>
    </row>
    <row r="9" spans="1:7" x14ac:dyDescent="0.25">
      <c r="A9" s="1">
        <v>2020</v>
      </c>
      <c r="B9" s="2">
        <v>6</v>
      </c>
      <c r="C9" s="6">
        <v>5.8</v>
      </c>
      <c r="D9" s="2">
        <f t="shared" si="1"/>
        <v>36</v>
      </c>
      <c r="E9" s="9">
        <f t="shared" si="2"/>
        <v>34.799999999999997</v>
      </c>
      <c r="F9" s="7">
        <f t="shared" si="0"/>
        <v>4.4363636363636374</v>
      </c>
      <c r="G9" s="7">
        <f t="shared" si="3"/>
        <v>1.8595041322314017</v>
      </c>
    </row>
    <row r="10" spans="1:7" x14ac:dyDescent="0.25">
      <c r="A10" s="1">
        <v>2021</v>
      </c>
      <c r="B10" s="2">
        <v>7</v>
      </c>
      <c r="C10" s="6">
        <v>4.8</v>
      </c>
      <c r="D10" s="2">
        <f t="shared" si="1"/>
        <v>49</v>
      </c>
      <c r="E10" s="9">
        <f t="shared" si="2"/>
        <v>33.6</v>
      </c>
      <c r="F10" s="7">
        <f t="shared" si="0"/>
        <v>4.1318181818181827</v>
      </c>
      <c r="G10" s="7">
        <f t="shared" si="3"/>
        <v>0.44646694214875887</v>
      </c>
    </row>
    <row r="11" spans="1:7" x14ac:dyDescent="0.25">
      <c r="A11" s="1">
        <v>2022</v>
      </c>
      <c r="B11" s="2">
        <v>8</v>
      </c>
      <c r="C11" s="6">
        <v>3.9</v>
      </c>
      <c r="D11" s="2">
        <f t="shared" si="1"/>
        <v>64</v>
      </c>
      <c r="E11" s="9">
        <f t="shared" si="2"/>
        <v>31.2</v>
      </c>
      <c r="F11" s="7">
        <f t="shared" si="0"/>
        <v>3.827272727272728</v>
      </c>
      <c r="G11" s="7">
        <f t="shared" si="3"/>
        <v>5.2892561983469821E-3</v>
      </c>
    </row>
    <row r="12" spans="1:7" x14ac:dyDescent="0.25">
      <c r="A12" s="1">
        <v>2023</v>
      </c>
      <c r="B12" s="2">
        <v>9</v>
      </c>
      <c r="C12" s="6">
        <v>3.2</v>
      </c>
      <c r="D12" s="2">
        <f t="shared" si="1"/>
        <v>81</v>
      </c>
      <c r="E12" s="9">
        <f t="shared" si="2"/>
        <v>28.8</v>
      </c>
      <c r="F12" s="7">
        <f t="shared" si="0"/>
        <v>3.5227272727272734</v>
      </c>
      <c r="G12" s="7">
        <f t="shared" si="3"/>
        <v>0.10415289256198378</v>
      </c>
    </row>
    <row r="13" spans="1:7" x14ac:dyDescent="0.25">
      <c r="A13" s="1">
        <v>2024</v>
      </c>
      <c r="B13" s="2">
        <v>10</v>
      </c>
      <c r="C13" s="6">
        <v>2.9</v>
      </c>
      <c r="D13" s="2">
        <f t="shared" si="1"/>
        <v>100</v>
      </c>
      <c r="E13" s="9">
        <f t="shared" si="2"/>
        <v>29</v>
      </c>
      <c r="F13" s="7">
        <f t="shared" si="0"/>
        <v>3.2181818181818187</v>
      </c>
      <c r="G13" s="7">
        <f t="shared" si="3"/>
        <v>0.10123966942148799</v>
      </c>
    </row>
    <row r="14" spans="1:7" x14ac:dyDescent="0.25">
      <c r="A14" s="1">
        <v>2025</v>
      </c>
      <c r="B14" s="2">
        <v>11</v>
      </c>
      <c r="C14" s="6">
        <v>2.5</v>
      </c>
      <c r="D14" s="2">
        <f t="shared" si="1"/>
        <v>121</v>
      </c>
      <c r="E14" s="9">
        <f t="shared" si="2"/>
        <v>27.5</v>
      </c>
      <c r="F14" s="7">
        <f t="shared" si="0"/>
        <v>2.9136363636363645</v>
      </c>
      <c r="G14" s="7">
        <f t="shared" si="3"/>
        <v>0.17109504132231473</v>
      </c>
    </row>
    <row r="15" spans="1:7" x14ac:dyDescent="0.25">
      <c r="A15" s="5"/>
      <c r="B15" s="5">
        <f>SUM(B4:B14)</f>
        <v>66</v>
      </c>
      <c r="C15" s="5">
        <f>SUM(C4:C14)</f>
        <v>48.800000000000004</v>
      </c>
      <c r="D15" s="5">
        <f>SUM(D4:D14)</f>
        <v>506</v>
      </c>
      <c r="E15" s="5">
        <f>SUM(E4:E14)</f>
        <v>259.3</v>
      </c>
      <c r="F15" s="5"/>
      <c r="G15" s="8">
        <f>SUM(G4:G14)</f>
        <v>2.943181818181817</v>
      </c>
    </row>
    <row r="17" spans="1:2" x14ac:dyDescent="0.25">
      <c r="A17" s="4" t="s">
        <v>6</v>
      </c>
      <c r="B17" s="4" t="s">
        <v>7</v>
      </c>
    </row>
    <row r="18" spans="1:2" x14ac:dyDescent="0.25">
      <c r="A18" s="5">
        <f>(A21*E15 - B15*C15)/(B14*D15 - B15^2)</f>
        <v>-0.30454545454545456</v>
      </c>
      <c r="B18" s="5">
        <f>(C15 - A18*B15)/B14</f>
        <v>6.2636363636363646</v>
      </c>
    </row>
    <row r="20" spans="1:2" x14ac:dyDescent="0.25">
      <c r="A20" s="3" t="s">
        <v>9</v>
      </c>
    </row>
    <row r="21" spans="1:2" x14ac:dyDescent="0.25">
      <c r="A21" s="5">
        <v>11</v>
      </c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Безработица РФ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2026-05-11T19:40:38Z</dcterms:created>
  <dcterms:modified xsi:type="dcterms:W3CDTF">2026-05-19T04:21:27Z</dcterms:modified>
</cp:coreProperties>
</file>