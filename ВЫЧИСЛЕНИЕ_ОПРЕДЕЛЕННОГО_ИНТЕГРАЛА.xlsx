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P:\CS292\"/>
    </mc:Choice>
  </mc:AlternateContent>
  <xr:revisionPtr revIDLastSave="0" documentId="13_ncr:1_{097C8348-1814-4E2A-8B0F-32E8E62F28A4}" xr6:coauthVersionLast="47" xr6:coauthVersionMax="47" xr10:uidLastSave="{00000000-0000-0000-0000-000000000000}"/>
  <bookViews>
    <workbookView xWindow="4005" yWindow="6435" windowWidth="21600" windowHeight="11385" xr2:uid="{D39F62B7-9C95-4F49-8CEA-FB122EE9777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B8" i="1" s="1"/>
  <c r="C8" i="1" s="1"/>
  <c r="E8" i="1" l="1"/>
  <c r="B10" i="1"/>
  <c r="B7" i="1"/>
  <c r="B13" i="1"/>
  <c r="B12" i="1"/>
  <c r="B11" i="1"/>
  <c r="B9" i="1"/>
  <c r="E10" i="1" l="1"/>
  <c r="C10" i="1"/>
  <c r="E9" i="1"/>
  <c r="C9" i="1"/>
  <c r="E11" i="1"/>
  <c r="C11" i="1"/>
  <c r="E12" i="1"/>
  <c r="C12" i="1"/>
  <c r="E13" i="1"/>
  <c r="C13" i="1"/>
  <c r="E7" i="1"/>
  <c r="E15" i="1" s="1"/>
  <c r="F7" i="1" s="1"/>
  <c r="C7" i="1"/>
  <c r="D7" i="1" l="1"/>
  <c r="F18" i="1" s="1"/>
</calcChain>
</file>

<file path=xl/sharedStrings.xml><?xml version="1.0" encoding="utf-8"?>
<sst xmlns="http://schemas.openxmlformats.org/spreadsheetml/2006/main" count="13" uniqueCount="13">
  <si>
    <t>a</t>
  </si>
  <si>
    <t>b</t>
  </si>
  <si>
    <t>h</t>
  </si>
  <si>
    <t>x</t>
  </si>
  <si>
    <t>i</t>
  </si>
  <si>
    <t>n</t>
  </si>
  <si>
    <t>f(x)</t>
  </si>
  <si>
    <t>трапеция</t>
  </si>
  <si>
    <t>погрешность</t>
  </si>
  <si>
    <t>f''(x)</t>
  </si>
  <si>
    <t>макс</t>
  </si>
  <si>
    <t>значение вычисленное Рунге</t>
  </si>
  <si>
    <t>разность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</si>
</sst>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9AAB-5401-C647-9B8F-C7DFC660B535}">
  <dimension ref="A1:F18"/>
  <sheetViews>
    <sheetView tabSelected="1" topLeftCell="A4" workbookViewId="0">
      <selection activeCell="H18" sqref="H18"/>
    </sheetView>
  </sheetViews>
  <sheetFormatPr defaultColWidth="11.5546875" defaultRowHeight="15"/>
  <cols>
    <col min="4" max="4" width="15.33203125" customWidth="1"/>
    <col min="5" max="5" width="12" bestFit="1" customWidth="1"/>
    <col min="8" max="8" width="16.109375" bestFit="1" customWidth="1"/>
    <col min="9" max="10" width="12" bestFit="1" customWidth="1"/>
  </cols>
  <sheetData>
    <row r="1" spans="1:6" ht="15.75" thickBot="1"/>
    <row r="2" spans="1:6">
      <c r="A2" s="2" t="s">
        <v>5</v>
      </c>
      <c r="B2" s="3" t="s">
        <v>0</v>
      </c>
      <c r="C2" s="3" t="s">
        <v>1</v>
      </c>
      <c r="D2" s="4" t="s">
        <v>2</v>
      </c>
    </row>
    <row r="3" spans="1:6" ht="15.75" thickBot="1">
      <c r="A3" s="7">
        <v>6</v>
      </c>
      <c r="B3" s="8">
        <v>0.2</v>
      </c>
      <c r="C3" s="8">
        <v>1.2</v>
      </c>
      <c r="D3" s="9">
        <f>(C3-B3)/A3</f>
        <v>0.16666666666666666</v>
      </c>
    </row>
    <row r="5" spans="1:6" ht="15.75" thickBot="1"/>
    <row r="6" spans="1:6">
      <c r="A6" s="2" t="s">
        <v>4</v>
      </c>
      <c r="B6" s="3" t="s">
        <v>3</v>
      </c>
      <c r="C6" s="3" t="s">
        <v>6</v>
      </c>
      <c r="D6" s="3" t="s">
        <v>7</v>
      </c>
      <c r="E6" s="3" t="s">
        <v>9</v>
      </c>
      <c r="F6" s="4" t="s">
        <v>8</v>
      </c>
    </row>
    <row r="7" spans="1:6">
      <c r="A7" s="5">
        <v>0</v>
      </c>
      <c r="B7" s="1">
        <f>$B$3+$D$3*A7</f>
        <v>0.2</v>
      </c>
      <c r="C7" s="1">
        <f>SQRT(B7+1)*COS(B7*B7)</f>
        <v>1.0945688757595711</v>
      </c>
      <c r="D7" s="1">
        <f>(C7+C13)*D3/2+D3*SUM(C8:C12)</f>
        <v>0.97125012306162473</v>
      </c>
      <c r="E7" s="1">
        <f>ABS(-2*(B7*((SIN(B7*B7))/(2*SQRT(B7+1))+2*B7*SQRT(B7+1)*COS(B7*B7))+SQRT(B7+1)*SIN(B7*B7))-(B7*SIN(B7*B7))/(SQRT(B7+1))-(COS(B7*B7))/(4*((B7+1))^(3/2)))</f>
        <v>0.46737462066673974</v>
      </c>
      <c r="F7" s="6">
        <f>POWER(C3-B3,3)/(12*A3*A3)*E15</f>
        <v>1.5615774417110465E-2</v>
      </c>
    </row>
    <row r="8" spans="1:6">
      <c r="A8" s="5">
        <v>1</v>
      </c>
      <c r="B8" s="1">
        <f>$B$3+$D$3*A8</f>
        <v>0.3666666666666667</v>
      </c>
      <c r="C8" s="1">
        <f t="shared" ref="C8:C12" si="0">SQRT(B8+1)*COS(B8*B8)</f>
        <v>1.1584956729566274</v>
      </c>
      <c r="D8" s="1"/>
      <c r="E8" s="1">
        <f t="shared" ref="E8:E13" si="1">ABS(-2*(B8*((SIN(B8*B8))/(2*SQRT(B8+1))+2*B8*SQRT(B8+1)*COS(B8*B8))+SQRT(B8+1)*SIN(B8*B8))-(B8*SIN(B8*B8))/(SQRT(B8+1))-(COS(B8*B8))/(4*((B8+1))^(3/2)))</f>
        <v>1.1755559035321193</v>
      </c>
      <c r="F8" s="6"/>
    </row>
    <row r="9" spans="1:6">
      <c r="A9" s="5">
        <v>2</v>
      </c>
      <c r="B9" s="1">
        <f t="shared" ref="B9:B13" si="2">$B$3+$D$3*A9</f>
        <v>0.53333333333333333</v>
      </c>
      <c r="C9" s="1">
        <f t="shared" si="0"/>
        <v>1.1885215054818001</v>
      </c>
      <c r="D9" s="1"/>
      <c r="E9" s="1">
        <f t="shared" si="1"/>
        <v>2.4153668121848981</v>
      </c>
      <c r="F9" s="6"/>
    </row>
    <row r="10" spans="1:6">
      <c r="A10" s="5">
        <v>3</v>
      </c>
      <c r="B10" s="1">
        <f t="shared" si="2"/>
        <v>0.7</v>
      </c>
      <c r="C10" s="1">
        <f t="shared" si="0"/>
        <v>1.1504212988080866</v>
      </c>
      <c r="D10" s="1"/>
      <c r="E10" s="1">
        <f t="shared" si="1"/>
        <v>4.086920338603437</v>
      </c>
      <c r="F10" s="6"/>
    </row>
    <row r="11" spans="1:6">
      <c r="A11" s="5">
        <v>4</v>
      </c>
      <c r="B11" s="1">
        <f t="shared" si="2"/>
        <v>0.8666666666666667</v>
      </c>
      <c r="C11" s="1">
        <f t="shared" si="0"/>
        <v>0.99864191868400065</v>
      </c>
      <c r="D11" s="1"/>
      <c r="E11" s="1">
        <f t="shared" si="1"/>
        <v>5.8026318027756716</v>
      </c>
      <c r="F11" s="6"/>
    </row>
    <row r="12" spans="1:6">
      <c r="A12" s="5">
        <v>5</v>
      </c>
      <c r="B12" s="1">
        <f t="shared" si="2"/>
        <v>1.0333333333333332</v>
      </c>
      <c r="C12" s="1">
        <f t="shared" si="0"/>
        <v>0.68741109341692397</v>
      </c>
      <c r="D12" s="1"/>
      <c r="E12" s="1">
        <f t="shared" si="1"/>
        <v>6.7460145481917211</v>
      </c>
      <c r="F12" s="6"/>
    </row>
    <row r="13" spans="1:6">
      <c r="A13" s="5">
        <v>6</v>
      </c>
      <c r="B13" s="1">
        <f t="shared" si="2"/>
        <v>1.2</v>
      </c>
      <c r="C13" s="1">
        <f>SQRT(B13+1)*COS(B13*B13)</f>
        <v>0.19344962228504808</v>
      </c>
      <c r="D13" s="1"/>
      <c r="E13" s="1">
        <f t="shared" si="1"/>
        <v>5.6696614144422268</v>
      </c>
      <c r="F13" s="6"/>
    </row>
    <row r="14" spans="1:6">
      <c r="A14" s="5"/>
      <c r="B14" s="1"/>
      <c r="C14" s="1"/>
      <c r="D14" s="1"/>
      <c r="E14" s="1" t="s">
        <v>10</v>
      </c>
      <c r="F14" s="6"/>
    </row>
    <row r="15" spans="1:6" ht="15.75" thickBot="1">
      <c r="A15" s="7"/>
      <c r="B15" s="8"/>
      <c r="C15" s="8"/>
      <c r="D15" s="8"/>
      <c r="E15" s="8">
        <f>MAX(E7:E13)</f>
        <v>6.7460145481917211</v>
      </c>
      <c r="F15" s="9"/>
    </row>
    <row r="16" spans="1:6" ht="15.75" thickBot="1"/>
    <row r="17" spans="4:6">
      <c r="D17" s="2" t="s">
        <v>11</v>
      </c>
      <c r="E17" s="3"/>
      <c r="F17" s="4" t="s">
        <v>12</v>
      </c>
    </row>
    <row r="18" spans="4:6" ht="15.75" thickBot="1">
      <c r="D18" s="7">
        <v>0.98099146977499996</v>
      </c>
      <c r="E18" s="8"/>
      <c r="F18" s="9">
        <f>ABS(D18-D7)</f>
        <v>9.7413467133752318E-3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павленко</dc:creator>
  <cp:lastModifiedBy>user</cp:lastModifiedBy>
  <dcterms:created xsi:type="dcterms:W3CDTF">2026-05-24T11:40:20Z</dcterms:created>
  <dcterms:modified xsi:type="dcterms:W3CDTF">2026-05-28T12:01:41Z</dcterms:modified>
</cp:coreProperties>
</file>