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_desktop\"/>
    </mc:Choice>
  </mc:AlternateContent>
  <xr:revisionPtr revIDLastSave="0" documentId="13_ncr:1_{2EFF6771-64AA-45A5-9460-A853921B8C61}" xr6:coauthVersionLast="47" xr6:coauthVersionMax="47" xr10:uidLastSave="{00000000-0000-0000-0000-000000000000}"/>
  <bookViews>
    <workbookView xWindow="2445" yWindow="735" windowWidth="21600" windowHeight="11385" xr2:uid="{B4C3547A-B2A9-6744-8609-5E3FF82C54D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B6" i="1" s="1"/>
  <c r="D6" i="1" s="1"/>
  <c r="C7" i="1" s="1"/>
  <c r="D7" i="1" s="1"/>
  <c r="B9" i="1" l="1"/>
  <c r="B16" i="1"/>
  <c r="B14" i="1"/>
  <c r="B12" i="1"/>
  <c r="B11" i="1"/>
  <c r="B10" i="1"/>
  <c r="B8" i="1"/>
  <c r="B7" i="1"/>
  <c r="B15" i="1"/>
  <c r="B13" i="1"/>
  <c r="E6" i="1" l="1"/>
  <c r="G6" i="1" s="1"/>
  <c r="C8" i="1"/>
  <c r="D8" i="1" s="1"/>
  <c r="E7" i="1" l="1"/>
  <c r="G7" i="1" s="1"/>
  <c r="C9" i="1"/>
  <c r="D9" i="1" s="1"/>
  <c r="E8" i="1" l="1"/>
  <c r="G8" i="1" s="1"/>
  <c r="C10" i="1"/>
  <c r="D10" i="1" s="1"/>
  <c r="E9" i="1" l="1"/>
  <c r="G9" i="1" s="1"/>
  <c r="C11" i="1"/>
  <c r="D11" i="1" s="1"/>
  <c r="E10" i="1" l="1"/>
  <c r="G10" i="1" s="1"/>
  <c r="C12" i="1"/>
  <c r="D12" i="1" s="1"/>
  <c r="E11" i="1" l="1"/>
  <c r="G11" i="1" s="1"/>
  <c r="C13" i="1"/>
  <c r="D13" i="1" s="1"/>
  <c r="E12" i="1" l="1"/>
  <c r="G12" i="1" s="1"/>
  <c r="C14" i="1"/>
  <c r="D14" i="1" s="1"/>
  <c r="E13" i="1" l="1"/>
  <c r="G13" i="1" s="1"/>
  <c r="C15" i="1"/>
  <c r="D15" i="1" s="1"/>
  <c r="C16" i="1" l="1"/>
  <c r="E15" i="1" s="1"/>
  <c r="G15" i="1" s="1"/>
  <c r="E14" i="1"/>
  <c r="G14" i="1" s="1"/>
</calcChain>
</file>

<file path=xl/sharedStrings.xml><?xml version="1.0" encoding="utf-8"?>
<sst xmlns="http://schemas.openxmlformats.org/spreadsheetml/2006/main" count="13" uniqueCount="13">
  <si>
    <t>n</t>
  </si>
  <si>
    <t>a</t>
  </si>
  <si>
    <t>b</t>
  </si>
  <si>
    <t>h</t>
  </si>
  <si>
    <t>k</t>
  </si>
  <si>
    <t>xk</t>
  </si>
  <si>
    <t>yk</t>
  </si>
  <si>
    <t>f(xk,yk)</t>
  </si>
  <si>
    <t>yk+1</t>
  </si>
  <si>
    <t>y(xk+1)</t>
  </si>
  <si>
    <t>deltaY</t>
  </si>
  <si>
    <t xml:space="preserve">точное решение </t>
  </si>
  <si>
    <t>более приближенное занчение дает метод Эйлера-Коши(оранжевый кривая)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</si>
</sst>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0" fillId="0" borderId="0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right"/>
    </xf>
    <xf numFmtId="165" fontId="0" fillId="0" borderId="0" xfId="0" applyNumberFormat="1" applyBorder="1"/>
    <xf numFmtId="165" fontId="0" fillId="0" borderId="7" xfId="0" applyNumberFormat="1" applyBorder="1"/>
    <xf numFmtId="164" fontId="0" fillId="2" borderId="0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Lit>
              <c:formatCode>General</c:formatCode>
              <c:ptCount val="11"/>
              <c:pt idx="0">
                <c:v>1.6</c:v>
              </c:pt>
              <c:pt idx="1">
                <c:v>1.7</c:v>
              </c:pt>
              <c:pt idx="2">
                <c:v>1.8</c:v>
              </c:pt>
              <c:pt idx="3">
                <c:v>1.9</c:v>
              </c:pt>
              <c:pt idx="4">
                <c:v>2</c:v>
              </c:pt>
              <c:pt idx="5">
                <c:v>2.1</c:v>
              </c:pt>
              <c:pt idx="6">
                <c:v>2.2000000000000002</c:v>
              </c:pt>
              <c:pt idx="7">
                <c:v>2.2999999999999998</c:v>
              </c:pt>
              <c:pt idx="8">
                <c:v>2.4</c:v>
              </c:pt>
              <c:pt idx="9">
                <c:v>2.5</c:v>
              </c:pt>
              <c:pt idx="10">
                <c:v>2.6</c:v>
              </c:pt>
            </c:numLit>
          </c:cat>
          <c:val>
            <c:numRef>
              <c:f>Лист1!$E$6:$E$15</c:f>
              <c:numCache>
                <c:formatCode>0.00000</c:formatCode>
                <c:ptCount val="10"/>
                <c:pt idx="0">
                  <c:v>2.5723498882744655</c:v>
                </c:pt>
                <c:pt idx="1">
                  <c:v>2.6223500089521048</c:v>
                </c:pt>
                <c:pt idx="2">
                  <c:v>2.682482868629386</c:v>
                </c:pt>
                <c:pt idx="3">
                  <c:v>2.7531059147561909</c:v>
                </c:pt>
                <c:pt idx="4">
                  <c:v>2.8347631562960336</c:v>
                </c:pt>
                <c:pt idx="5">
                  <c:v>2.9282268980287656</c:v>
                </c:pt>
                <c:pt idx="6">
                  <c:v>3.0345470103434087</c:v>
                </c:pt>
                <c:pt idx="7">
                  <c:v>3.1551089013524534</c:v>
                </c:pt>
                <c:pt idx="8">
                  <c:v>3.2916997528749552</c:v>
                </c:pt>
                <c:pt idx="9">
                  <c:v>3.4465787811640958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B-B244-9994-897F56F113B3}"/>
            </c:ext>
          </c:extLst>
        </c:ser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numLit>
              <c:formatCode>General</c:formatCode>
              <c:ptCount val="11"/>
              <c:pt idx="0">
                <c:v>1.6</c:v>
              </c:pt>
              <c:pt idx="1">
                <c:v>1.7</c:v>
              </c:pt>
              <c:pt idx="2">
                <c:v>1.8</c:v>
              </c:pt>
              <c:pt idx="3">
                <c:v>1.9</c:v>
              </c:pt>
              <c:pt idx="4">
                <c:v>2</c:v>
              </c:pt>
              <c:pt idx="5">
                <c:v>2.1</c:v>
              </c:pt>
              <c:pt idx="6">
                <c:v>2.2000000000000002</c:v>
              </c:pt>
              <c:pt idx="7">
                <c:v>2.2999999999999998</c:v>
              </c:pt>
              <c:pt idx="8">
                <c:v>2.4</c:v>
              </c:pt>
              <c:pt idx="9">
                <c:v>2.5</c:v>
              </c:pt>
              <c:pt idx="10">
                <c:v>2.6</c:v>
              </c:pt>
            </c:numLit>
          </c:cat>
          <c:val>
            <c:numRef>
              <c:f>Лист1!$F$6:$F$15</c:f>
              <c:numCache>
                <c:formatCode>0.00000</c:formatCode>
                <c:ptCount val="10"/>
                <c:pt idx="0">
                  <c:v>6.0599051933199997</c:v>
                </c:pt>
                <c:pt idx="1">
                  <c:v>8.2627991307399995</c:v>
                </c:pt>
                <c:pt idx="2">
                  <c:v>11.5442194991</c:v>
                </c:pt>
                <c:pt idx="3">
                  <c:v>16.756872912999999</c:v>
                </c:pt>
                <c:pt idx="4">
                  <c:v>25.237596654400001</c:v>
                </c:pt>
                <c:pt idx="5">
                  <c:v>39.693788565799998</c:v>
                </c:pt>
                <c:pt idx="6">
                  <c:v>64.814869821399995</c:v>
                </c:pt>
                <c:pt idx="7">
                  <c:v>110.473266022</c:v>
                </c:pt>
                <c:pt idx="8">
                  <c:v>196.61039259399999</c:v>
                </c:pt>
                <c:pt idx="9">
                  <c:v>366.04578847200003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B-B244-9994-897F56F11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481423"/>
        <c:axId val="871483135"/>
      </c:lineChart>
      <c:catAx>
        <c:axId val="87148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83135"/>
        <c:crosses val="autoZero"/>
        <c:auto val="1"/>
        <c:lblAlgn val="ctr"/>
        <c:lblOffset val="100"/>
        <c:noMultiLvlLbl val="0"/>
      </c:catAx>
      <c:valAx>
        <c:axId val="87148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148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11784</xdr:colOff>
      <xdr:row>0</xdr:row>
      <xdr:rowOff>170075</xdr:rowOff>
    </xdr:from>
    <xdr:to>
      <xdr:col>13</xdr:col>
      <xdr:colOff>557754</xdr:colOff>
      <xdr:row>14</xdr:row>
      <xdr:rowOff>3404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AA36248-1082-FBA5-175E-45F9FF4D6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543D-145B-7B4B-8420-75DC620C5FA6}">
  <dimension ref="A1:I20"/>
  <sheetViews>
    <sheetView tabSelected="1" zoomScale="85" zoomScaleNormal="85" workbookViewId="0">
      <selection activeCell="F6" sqref="F6:F15"/>
    </sheetView>
  </sheetViews>
  <sheetFormatPr defaultColWidth="11.5546875" defaultRowHeight="15"/>
  <cols>
    <col min="7" max="7" width="11" bestFit="1" customWidth="1"/>
    <col min="8" max="8" width="11.6640625" bestFit="1" customWidth="1"/>
    <col min="9" max="10" width="11" bestFit="1" customWidth="1"/>
  </cols>
  <sheetData>
    <row r="1" spans="1:7">
      <c r="A1" s="11" t="s">
        <v>0</v>
      </c>
      <c r="B1" s="2" t="s">
        <v>1</v>
      </c>
      <c r="C1" s="2" t="s">
        <v>2</v>
      </c>
      <c r="D1" s="3" t="s">
        <v>3</v>
      </c>
    </row>
    <row r="2" spans="1:7" ht="15.75" thickBot="1">
      <c r="A2" s="12">
        <v>10</v>
      </c>
      <c r="B2" s="8">
        <v>1.4</v>
      </c>
      <c r="C2" s="8">
        <v>2.4</v>
      </c>
      <c r="D2" s="10">
        <f>(C2-B2)/A2</f>
        <v>0.1</v>
      </c>
    </row>
    <row r="4" spans="1:7" ht="15.75" thickBot="1"/>
    <row r="5" spans="1:7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3" t="s">
        <v>10</v>
      </c>
    </row>
    <row r="6" spans="1:7">
      <c r="A6" s="4">
        <v>0</v>
      </c>
      <c r="B6" s="13">
        <f>$B$2+A6*$D$2</f>
        <v>1.4</v>
      </c>
      <c r="C6" s="5">
        <v>2.2000000000000002</v>
      </c>
      <c r="D6" s="5">
        <f>B6*B6*C6+COS(C6)</f>
        <v>3.7234988827446536</v>
      </c>
      <c r="E6" s="5">
        <f>C7</f>
        <v>2.5723498882744655</v>
      </c>
      <c r="F6" s="15">
        <v>6.0599051933199997</v>
      </c>
      <c r="G6" s="6">
        <f>ABS(F6-E6)</f>
        <v>3.4875553050455341</v>
      </c>
    </row>
    <row r="7" spans="1:7">
      <c r="A7" s="4">
        <v>1</v>
      </c>
      <c r="B7" s="13">
        <f t="shared" ref="B7:B16" si="0">$B$2+A7*$D$2</f>
        <v>1.5</v>
      </c>
      <c r="C7" s="5">
        <f>C6+$D$2*D6</f>
        <v>2.5723498882744655</v>
      </c>
      <c r="D7" s="5">
        <f>B7 - SIN(C7 - 1)</f>
        <v>0.5000012067763927</v>
      </c>
      <c r="E7" s="5">
        <f t="shared" ref="E7:E15" si="1">C8</f>
        <v>2.6223500089521048</v>
      </c>
      <c r="F7" s="15">
        <v>8.2627991307399995</v>
      </c>
      <c r="G7" s="6">
        <f t="shared" ref="G7:G14" si="2">ABS(F7-E7)</f>
        <v>5.6404491217878947</v>
      </c>
    </row>
    <row r="8" spans="1:7">
      <c r="A8" s="4">
        <v>2</v>
      </c>
      <c r="B8" s="13">
        <f t="shared" si="0"/>
        <v>1.5999999999999999</v>
      </c>
      <c r="C8" s="5">
        <f t="shared" ref="C8:C15" si="3">C7+$D$2*D7</f>
        <v>2.6223500089521048</v>
      </c>
      <c r="D8" s="5">
        <f t="shared" ref="D8:D15" si="4">B8 - SIN(C8 - 1)</f>
        <v>0.60132859677281003</v>
      </c>
      <c r="E8" s="5">
        <f t="shared" si="1"/>
        <v>2.682482868629386</v>
      </c>
      <c r="F8" s="15">
        <v>11.5442194991</v>
      </c>
      <c r="G8" s="6">
        <f t="shared" si="2"/>
        <v>8.8617366304706149</v>
      </c>
    </row>
    <row r="9" spans="1:7">
      <c r="A9" s="4">
        <v>3</v>
      </c>
      <c r="B9" s="13">
        <f t="shared" si="0"/>
        <v>1.7</v>
      </c>
      <c r="C9" s="5">
        <f t="shared" si="3"/>
        <v>2.682482868629386</v>
      </c>
      <c r="D9" s="5">
        <f t="shared" si="4"/>
        <v>0.70623046126804867</v>
      </c>
      <c r="E9" s="5">
        <f t="shared" si="1"/>
        <v>2.7531059147561909</v>
      </c>
      <c r="F9" s="15">
        <v>16.756872912999999</v>
      </c>
      <c r="G9" s="6">
        <f t="shared" si="2"/>
        <v>14.003766998243808</v>
      </c>
    </row>
    <row r="10" spans="1:7">
      <c r="A10" s="4">
        <v>4</v>
      </c>
      <c r="B10" s="13">
        <f t="shared" si="0"/>
        <v>1.7999999999999998</v>
      </c>
      <c r="C10" s="5">
        <f t="shared" si="3"/>
        <v>2.7531059147561909</v>
      </c>
      <c r="D10" s="5">
        <f t="shared" si="4"/>
        <v>0.81657241539842707</v>
      </c>
      <c r="E10" s="5">
        <f t="shared" si="1"/>
        <v>2.8347631562960336</v>
      </c>
      <c r="F10" s="15">
        <v>25.237596654400001</v>
      </c>
      <c r="G10" s="6">
        <f t="shared" si="2"/>
        <v>22.402833498103966</v>
      </c>
    </row>
    <row r="11" spans="1:7">
      <c r="A11" s="4">
        <v>5</v>
      </c>
      <c r="B11" s="13">
        <f t="shared" si="0"/>
        <v>1.9</v>
      </c>
      <c r="C11" s="5">
        <f t="shared" si="3"/>
        <v>2.8347631562960336</v>
      </c>
      <c r="D11" s="5">
        <f t="shared" si="4"/>
        <v>0.93463741732732109</v>
      </c>
      <c r="E11" s="5">
        <f t="shared" si="1"/>
        <v>2.9282268980287656</v>
      </c>
      <c r="F11" s="15">
        <v>39.693788565799998</v>
      </c>
      <c r="G11" s="6">
        <f t="shared" si="2"/>
        <v>36.76556166777123</v>
      </c>
    </row>
    <row r="12" spans="1:7">
      <c r="A12" s="4">
        <v>6</v>
      </c>
      <c r="B12" s="13">
        <f t="shared" si="0"/>
        <v>2</v>
      </c>
      <c r="C12" s="5">
        <f t="shared" si="3"/>
        <v>2.9282268980287656</v>
      </c>
      <c r="D12" s="5">
        <f t="shared" si="4"/>
        <v>1.0632011231464307</v>
      </c>
      <c r="E12" s="5">
        <f t="shared" si="1"/>
        <v>3.0345470103434087</v>
      </c>
      <c r="F12" s="15">
        <v>64.814869821399995</v>
      </c>
      <c r="G12" s="6">
        <f t="shared" si="2"/>
        <v>61.780322811056585</v>
      </c>
    </row>
    <row r="13" spans="1:7">
      <c r="A13" s="4">
        <v>7</v>
      </c>
      <c r="B13" s="13">
        <f t="shared" si="0"/>
        <v>2.1</v>
      </c>
      <c r="C13" s="5">
        <f t="shared" si="3"/>
        <v>3.0345470103434087</v>
      </c>
      <c r="D13" s="5">
        <f t="shared" si="4"/>
        <v>1.205618910090446</v>
      </c>
      <c r="E13" s="5">
        <f t="shared" si="1"/>
        <v>3.1551089013524534</v>
      </c>
      <c r="F13" s="15">
        <v>110.473266022</v>
      </c>
      <c r="G13" s="6">
        <f t="shared" si="2"/>
        <v>107.31815712064756</v>
      </c>
    </row>
    <row r="14" spans="1:7">
      <c r="A14" s="4">
        <v>8</v>
      </c>
      <c r="B14" s="13">
        <f t="shared" si="0"/>
        <v>2.2000000000000002</v>
      </c>
      <c r="C14" s="5">
        <f t="shared" si="3"/>
        <v>3.1551089013524534</v>
      </c>
      <c r="D14" s="5">
        <f t="shared" si="4"/>
        <v>1.3659085152250179</v>
      </c>
      <c r="E14" s="5">
        <f t="shared" si="1"/>
        <v>3.2916997528749552</v>
      </c>
      <c r="F14" s="15">
        <v>196.61039259399999</v>
      </c>
      <c r="G14" s="6">
        <f t="shared" si="2"/>
        <v>193.31869284112503</v>
      </c>
    </row>
    <row r="15" spans="1:7">
      <c r="A15" s="4">
        <v>9</v>
      </c>
      <c r="B15" s="13">
        <f t="shared" si="0"/>
        <v>2.2999999999999998</v>
      </c>
      <c r="C15" s="5">
        <f t="shared" si="3"/>
        <v>3.2916997528749552</v>
      </c>
      <c r="D15" s="5">
        <f t="shared" si="4"/>
        <v>1.5487902828914049</v>
      </c>
      <c r="E15" s="5">
        <f t="shared" si="1"/>
        <v>3.4465787811640958</v>
      </c>
      <c r="F15" s="15">
        <v>366.04578847200003</v>
      </c>
      <c r="G15" s="6">
        <f>ABS(F15-E15)</f>
        <v>362.59920969083595</v>
      </c>
    </row>
    <row r="16" spans="1:7" ht="15.75" thickBot="1">
      <c r="A16" s="7">
        <v>10</v>
      </c>
      <c r="B16" s="14">
        <f t="shared" si="0"/>
        <v>2.4</v>
      </c>
      <c r="C16" s="9">
        <f>C15+$D$2*D15</f>
        <v>3.4465787811640958</v>
      </c>
      <c r="D16" s="9"/>
      <c r="E16" s="9"/>
      <c r="F16" s="9"/>
      <c r="G16" s="10"/>
    </row>
    <row r="17" spans="6:9">
      <c r="F17" t="s">
        <v>11</v>
      </c>
    </row>
    <row r="20" spans="6:9">
      <c r="I20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павленко</dc:creator>
  <cp:lastModifiedBy>user</cp:lastModifiedBy>
  <dcterms:created xsi:type="dcterms:W3CDTF">2026-05-24T12:51:21Z</dcterms:created>
  <dcterms:modified xsi:type="dcterms:W3CDTF">2026-05-28T12:10:10Z</dcterms:modified>
</cp:coreProperties>
</file>